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SE" sheetId="1" r:id="rId5"/>
    <sheet state="hidden" name="BASE FILIAL" sheetId="2" r:id="rId6"/>
    <sheet state="visible" name="DASHBOARD" sheetId="3" r:id="rId7"/>
    <sheet state="visible" name="LIBERAÇÕES" sheetId="4" r:id="rId8"/>
    <sheet state="visible" name="ACESSO - TERMINAIS" sheetId="5" r:id="rId9"/>
    <sheet state="visible" name="SINOP" sheetId="6" r:id="rId10"/>
    <sheet state="visible" name="LUCAS DO RIO VERDE" sheetId="7" r:id="rId11"/>
    <sheet state="visible" name="SAPEZAL" sheetId="8" r:id="rId12"/>
    <sheet state="visible" name="RONDONOPOLIS" sheetId="9" r:id="rId13"/>
    <sheet state="visible" name="NOVA MUTUM" sheetId="10" r:id="rId14"/>
    <sheet state="visible" name="PRIMAVERA DO LESTE" sheetId="11" r:id="rId15"/>
    <sheet state="visible" name="SORRISO" sheetId="12" r:id="rId16"/>
    <sheet state="visible" name="CAMPO NOVO " sheetId="13" r:id="rId17"/>
  </sheets>
  <definedNames>
    <definedName name="SegmentaçãodeDados_CLIENTE">#REF!</definedName>
    <definedName name="SegmentaçãodeDados_PRAZO__DIAS">#REF!</definedName>
    <definedName hidden="1" localSheetId="3" name="_xlnm._FilterDatabase">'LIBERAÇÕES'!$A$2:$Q$89</definedName>
  </definedNames>
  <calcPr/>
</workbook>
</file>

<file path=xl/sharedStrings.xml><?xml version="1.0" encoding="utf-8"?>
<sst xmlns="http://schemas.openxmlformats.org/spreadsheetml/2006/main" count="9217" uniqueCount="6179">
  <si>
    <t>CLIENTES</t>
  </si>
  <si>
    <t>STATUS</t>
  </si>
  <si>
    <t>VEICULO</t>
  </si>
  <si>
    <t>ORIGEM</t>
  </si>
  <si>
    <t xml:space="preserve">ADM </t>
  </si>
  <si>
    <t xml:space="preserve">CONTRATADO </t>
  </si>
  <si>
    <t>LS GRANELEIRO</t>
  </si>
  <si>
    <t>ABADIA DE GOIAS-GO</t>
  </si>
  <si>
    <t xml:space="preserve">AMAGGI </t>
  </si>
  <si>
    <t>AGUARDANDO OC</t>
  </si>
  <si>
    <t>LS SIDER</t>
  </si>
  <si>
    <t>ABADIA DOS DOURADOS-MG</t>
  </si>
  <si>
    <t>BOA ESPERANÇA</t>
  </si>
  <si>
    <t>AGUARDANDO GR</t>
  </si>
  <si>
    <t>BITREM</t>
  </si>
  <si>
    <t>ABADIANIA-GO</t>
  </si>
  <si>
    <t>BRASIL AGRO</t>
  </si>
  <si>
    <t>CARREGADO</t>
  </si>
  <si>
    <t>VANDERLEIA</t>
  </si>
  <si>
    <t>ABAETE-MG</t>
  </si>
  <si>
    <t xml:space="preserve">BUNGE </t>
  </si>
  <si>
    <t>EM TRANSITO</t>
  </si>
  <si>
    <t>VANDERLEIA SIDER</t>
  </si>
  <si>
    <t>ABAETETUBA-PA</t>
  </si>
  <si>
    <t xml:space="preserve">CARGILL </t>
  </si>
  <si>
    <t>FALTA CONTRATAR</t>
  </si>
  <si>
    <t>4º EIXOS</t>
  </si>
  <si>
    <t>ABAIARA-CE</t>
  </si>
  <si>
    <t>CARLOS POLATO</t>
  </si>
  <si>
    <t>1ª PERNA</t>
  </si>
  <si>
    <t>4º EIXOS SIDER</t>
  </si>
  <si>
    <t>ABAIRA-BA</t>
  </si>
  <si>
    <t xml:space="preserve">CDI / STONEX </t>
  </si>
  <si>
    <t>FALTA AGENDAR</t>
  </si>
  <si>
    <t>RODOTREM</t>
  </si>
  <si>
    <t>ABARE-BA</t>
  </si>
  <si>
    <t>COFCO</t>
  </si>
  <si>
    <t>FINALIZADO</t>
  </si>
  <si>
    <t>RODOTREM SIDER</t>
  </si>
  <si>
    <t>ABATIA-PR</t>
  </si>
  <si>
    <t>COOAMI</t>
  </si>
  <si>
    <t>AGENDADO</t>
  </si>
  <si>
    <t>TRUCK</t>
  </si>
  <si>
    <t>ABDON BATISTA-SC</t>
  </si>
  <si>
    <t xml:space="preserve">LDC </t>
  </si>
  <si>
    <t>MANUTENÇÃO</t>
  </si>
  <si>
    <t>TRUCK SIDER</t>
  </si>
  <si>
    <t>ABEL FIGUEIREDO-PA</t>
  </si>
  <si>
    <t xml:space="preserve">LOCKS </t>
  </si>
  <si>
    <t>ATRASADO</t>
  </si>
  <si>
    <t>BITRUCK</t>
  </si>
  <si>
    <t>ABELARDO LUZ-SC</t>
  </si>
  <si>
    <t xml:space="preserve">NUTRADE </t>
  </si>
  <si>
    <t>AGUARDANDO CARREGAMENTO</t>
  </si>
  <si>
    <t>BITRUCK SIDER</t>
  </si>
  <si>
    <t>ABRE CAMPO-MG</t>
  </si>
  <si>
    <t>LIBERADO</t>
  </si>
  <si>
    <t>ABREU E LIMA-PE</t>
  </si>
  <si>
    <t>AGUARDANDO NFE</t>
  </si>
  <si>
    <t>ABREULANDIA-TO</t>
  </si>
  <si>
    <t>ACAIACA-MG</t>
  </si>
  <si>
    <t>ACAILANDIA-MA</t>
  </si>
  <si>
    <t>ACAJUTIBA-BA</t>
  </si>
  <si>
    <t>ACARA-PA</t>
  </si>
  <si>
    <t>ACARAPE-CE</t>
  </si>
  <si>
    <t>ACARAU-CE</t>
  </si>
  <si>
    <t>ACARI-RN</t>
  </si>
  <si>
    <t>ACAUA-PI</t>
  </si>
  <si>
    <t>ACEGUA-RS</t>
  </si>
  <si>
    <t>ACOPIARA-CE</t>
  </si>
  <si>
    <t>ACORIZAL-MT</t>
  </si>
  <si>
    <t>ACRELANDIA-AC</t>
  </si>
  <si>
    <t>ACREUNA-GO</t>
  </si>
  <si>
    <t>ACU-RN</t>
  </si>
  <si>
    <t>ACUCENA-MG</t>
  </si>
  <si>
    <t>ADAMANTINA-SP</t>
  </si>
  <si>
    <t>ADELANDIA-GO</t>
  </si>
  <si>
    <t>ADOLFO-SP</t>
  </si>
  <si>
    <t>ADRIANOPOLIS-PR</t>
  </si>
  <si>
    <t>ADUSTINA-BA</t>
  </si>
  <si>
    <t>AFOGADOS DA INGAZEIRA-PE</t>
  </si>
  <si>
    <t>AFONSO BEZERRA-RN</t>
  </si>
  <si>
    <t>AFONSO CLAUDIO-ES</t>
  </si>
  <si>
    <t>AFONSO CUNHA-MA</t>
  </si>
  <si>
    <t>AFRANIO-PE</t>
  </si>
  <si>
    <t>AFUA-PA</t>
  </si>
  <si>
    <t>AGRESTINA-PE</t>
  </si>
  <si>
    <t>AGRICOLANDIA-PI</t>
  </si>
  <si>
    <t>AGROLANDIA-SC</t>
  </si>
  <si>
    <t>AGRONOMICA-SC</t>
  </si>
  <si>
    <t>AGUA AZUL DO NORTE-PA</t>
  </si>
  <si>
    <t>AGUA BOA-MG</t>
  </si>
  <si>
    <t>AGUA BOA-MT</t>
  </si>
  <si>
    <t>AGUA BRANCA-AL</t>
  </si>
  <si>
    <t>AGUA BRANCA-PB</t>
  </si>
  <si>
    <t>AGUA BRANCA-PI</t>
  </si>
  <si>
    <t>AGUA CLARA-MS</t>
  </si>
  <si>
    <t>AGUA COMPRIDA-MG</t>
  </si>
  <si>
    <t>AGUA DOCE-SC</t>
  </si>
  <si>
    <t>AGUA DOCE DO MARANHAO-MA</t>
  </si>
  <si>
    <t>AGUA DOCE DO NORTE-ES</t>
  </si>
  <si>
    <t>AGUA FRIA-BA</t>
  </si>
  <si>
    <t>AGUA FRIA DE GOIAS-GO</t>
  </si>
  <si>
    <t>AGUA LIMPA-GO</t>
  </si>
  <si>
    <t>AGUA NOVA-RN</t>
  </si>
  <si>
    <t>AGUA PRETA-PE</t>
  </si>
  <si>
    <t>AGUA SANTA-RS</t>
  </si>
  <si>
    <t>AGUAI-SP</t>
  </si>
  <si>
    <t>AGUANIL-MG</t>
  </si>
  <si>
    <t>AGUAS BELAS-PE</t>
  </si>
  <si>
    <t>AGUAS DA PRATA-SP</t>
  </si>
  <si>
    <t>AGUAS DE CHAPECO-SC</t>
  </si>
  <si>
    <t>AGUAS DE LINDOIA-SP</t>
  </si>
  <si>
    <t>AGUAS DE SANTA BARBARA-SP</t>
  </si>
  <si>
    <t>AGUAS DE SAO PEDRO-SP</t>
  </si>
  <si>
    <t>AGUAS FORMOSAS-MG</t>
  </si>
  <si>
    <t>AGUAS FRIAS-SC</t>
  </si>
  <si>
    <t>AGUAS LINDAS DE GOIAS-GO</t>
  </si>
  <si>
    <t>AGUAS MORNAS-SC</t>
  </si>
  <si>
    <t>AGUAS VERMELHAS-MG</t>
  </si>
  <si>
    <t>AGUDO-RS</t>
  </si>
  <si>
    <t>AGUDOS-SP</t>
  </si>
  <si>
    <t>AGUDOS DO SUL-PR</t>
  </si>
  <si>
    <t>AGUIA BRANCA-ES</t>
  </si>
  <si>
    <t>AGUIAR-PB</t>
  </si>
  <si>
    <t>AGUIARNOPOLIS-TO</t>
  </si>
  <si>
    <t>AIMORES-MG</t>
  </si>
  <si>
    <t>AIQUARA-BA</t>
  </si>
  <si>
    <t>AIUABA-CE</t>
  </si>
  <si>
    <t>AIURUOCA-MG</t>
  </si>
  <si>
    <t>AJURICABA-RS</t>
  </si>
  <si>
    <t>ALAGOA-MG</t>
  </si>
  <si>
    <t>ALAGOA GRANDE-PB</t>
  </si>
  <si>
    <t>ALAGOA NOVA-PB</t>
  </si>
  <si>
    <t>ALAGOINHA-PB</t>
  </si>
  <si>
    <t>ALAGOINHA-PE</t>
  </si>
  <si>
    <t>ALAGOINHA DO PIAUI-PI</t>
  </si>
  <si>
    <t>ALAGOINHAS-BA</t>
  </si>
  <si>
    <t>ALAMBARI-SP</t>
  </si>
  <si>
    <t>ALBERTINA-MG</t>
  </si>
  <si>
    <t>ALCANTARA-MA</t>
  </si>
  <si>
    <t>ALCANTARAS-CE</t>
  </si>
  <si>
    <t>ALCANTIL-PB</t>
  </si>
  <si>
    <t>ALCINOPOLIS-MS</t>
  </si>
  <si>
    <t>ALCOBACA-BA</t>
  </si>
  <si>
    <t>ALDEIAS ALTAS-MA</t>
  </si>
  <si>
    <t>ALECRIM-RS</t>
  </si>
  <si>
    <t>ALEGRE-ES</t>
  </si>
  <si>
    <t>ALEGRETE-RS</t>
  </si>
  <si>
    <t>ALEGRETE DO PIAUI-PI</t>
  </si>
  <si>
    <t>ALEGRIA-RS</t>
  </si>
  <si>
    <t>ALEM PARAIBA-MG</t>
  </si>
  <si>
    <t>ALENQUER-PA</t>
  </si>
  <si>
    <t>ALEXANDRIA-RN</t>
  </si>
  <si>
    <t>ALEXANIA-GO</t>
  </si>
  <si>
    <t>ALFENAS-MG</t>
  </si>
  <si>
    <t>ALFREDO CHAVES-ES</t>
  </si>
  <si>
    <t>ALFREDO MARCONDES-SP</t>
  </si>
  <si>
    <t>ALFREDO VASCONCELOS-MG</t>
  </si>
  <si>
    <t>ALFREDO WAGNER-SC</t>
  </si>
  <si>
    <t>ALGODAO DE JANDAIRA-PB</t>
  </si>
  <si>
    <t>ALHANDRA-PB</t>
  </si>
  <si>
    <t>ALIANCA-PE</t>
  </si>
  <si>
    <t>ALIANCA DO TOCANTINS-TO</t>
  </si>
  <si>
    <t>ALMADINA-BA</t>
  </si>
  <si>
    <t>ALMAS-TO</t>
  </si>
  <si>
    <t>ALMEIRIM-PA</t>
  </si>
  <si>
    <t>ALMENARA-MG</t>
  </si>
  <si>
    <t>ALMINO AFONSO-RN</t>
  </si>
  <si>
    <t>ALMIRANTE TAMANDARE-PR</t>
  </si>
  <si>
    <t>ALMIRANTE TAMANDARE DO SUL-RS</t>
  </si>
  <si>
    <t>ALOANDIA-GO</t>
  </si>
  <si>
    <t>ALPERCATA-MG</t>
  </si>
  <si>
    <t>ALPESTRE-RS</t>
  </si>
  <si>
    <t>ALPINOPOLIS-MG</t>
  </si>
  <si>
    <t>ALTA FLORESTA-MT</t>
  </si>
  <si>
    <t>ALTA FLORESTA D'OESTE-RO</t>
  </si>
  <si>
    <t>ALTAIR-SP</t>
  </si>
  <si>
    <t>ALTAMIRA-PA</t>
  </si>
  <si>
    <t>ALTAMIRA DO MARANHAO-MA</t>
  </si>
  <si>
    <t>ALTAMIRA DO PARANA-PR</t>
  </si>
  <si>
    <t>ALTANEIRA-CE</t>
  </si>
  <si>
    <t>ALTEROSA-MG</t>
  </si>
  <si>
    <t>ALTINHO-PE</t>
  </si>
  <si>
    <t>ALTINOPOLIS-SP</t>
  </si>
  <si>
    <t>ALTO ALEGRE-RR</t>
  </si>
  <si>
    <t>ALTO ALEGRE-RS</t>
  </si>
  <si>
    <t>ALTO ALEGRE-SP</t>
  </si>
  <si>
    <t>ALTO ALEGRE DO MARANHAO-MA</t>
  </si>
  <si>
    <t>ALTO ALEGRE DO PINDARE-MA</t>
  </si>
  <si>
    <t>ALTO ALEGRE DOS PARECIS-RO</t>
  </si>
  <si>
    <t>ALTO ARAGUAIA-MT</t>
  </si>
  <si>
    <t>ALTO BELA VISTA-SC</t>
  </si>
  <si>
    <t>ALTO BOA VISTA-MT</t>
  </si>
  <si>
    <t>ALTO CAPARAO-MG</t>
  </si>
  <si>
    <t>ALTO DO RODRIGUES-RN</t>
  </si>
  <si>
    <t>ALTO FELIZ-RS</t>
  </si>
  <si>
    <t>ALTO GARCAS-MT</t>
  </si>
  <si>
    <t>ALTO HORIZONTE-GO</t>
  </si>
  <si>
    <t>ALTO JEQUITIBA-MG</t>
  </si>
  <si>
    <t>ALTO LONGA-PI</t>
  </si>
  <si>
    <t>ALTO PARAGUAI-MT</t>
  </si>
  <si>
    <t>ALTO PARAISO-PR</t>
  </si>
  <si>
    <t>ALTO PARAISO-RO</t>
  </si>
  <si>
    <t>ALTO PARAISO DE GOIAS-GO</t>
  </si>
  <si>
    <t>ALTO PARANA-PR</t>
  </si>
  <si>
    <t>ALTO PARNAIBA-MA</t>
  </si>
  <si>
    <t>ALTO PIQUIRI-PR</t>
  </si>
  <si>
    <t>ALTO RIO DOCE-MG</t>
  </si>
  <si>
    <t>ALTO RIO NOVO-ES</t>
  </si>
  <si>
    <t>ALTO SANTO-CE</t>
  </si>
  <si>
    <t>ALTO TAQUARI-MT</t>
  </si>
  <si>
    <t>ALTONIA-PR</t>
  </si>
  <si>
    <t>ALTOS-PI</t>
  </si>
  <si>
    <t>ALUMINIO-SP</t>
  </si>
  <si>
    <t>ALVARAES-AM</t>
  </si>
  <si>
    <t>ALVARENGA-MG</t>
  </si>
  <si>
    <t>ALVARES FLORENCE-SP</t>
  </si>
  <si>
    <t>ALVARES MACHADO-SP</t>
  </si>
  <si>
    <t>ALVARO DE CARVALHO-SP</t>
  </si>
  <si>
    <t>ALVINLANDIA-SP</t>
  </si>
  <si>
    <t>ALVINOPOLIS-MG</t>
  </si>
  <si>
    <t>ALVORADA-RS</t>
  </si>
  <si>
    <t>ALVORADA-TO</t>
  </si>
  <si>
    <t>ALVORADA DE MINAS-MG</t>
  </si>
  <si>
    <t>ALVORADA DO GURGUEIA-PI</t>
  </si>
  <si>
    <t>ALVORADA DO NORTE-GO</t>
  </si>
  <si>
    <t>ALVORADA DO SUL-PR</t>
  </si>
  <si>
    <t>ALVORADA D'OESTE-RO</t>
  </si>
  <si>
    <t>AMAJARI-RR</t>
  </si>
  <si>
    <t>AMAMBAI-MS</t>
  </si>
  <si>
    <t>AMAPA-AP</t>
  </si>
  <si>
    <t>AMAPA DO MARANHAO-MA</t>
  </si>
  <si>
    <t>AMAPORA-PR</t>
  </si>
  <si>
    <t>AMARAJI-PE</t>
  </si>
  <si>
    <t>AMARAL FERRADOR-RS</t>
  </si>
  <si>
    <t>AMARALINA-GO</t>
  </si>
  <si>
    <t>AMARANTE-PI</t>
  </si>
  <si>
    <t>AMARANTE DO MARANHAO-MA</t>
  </si>
  <si>
    <t>AMARGOSA-BA</t>
  </si>
  <si>
    <t>AMATURA-AM</t>
  </si>
  <si>
    <t>AMELIA RODRIGUES-BA</t>
  </si>
  <si>
    <t>AMERICA DOURADA-BA</t>
  </si>
  <si>
    <t>AMERICANA-SP</t>
  </si>
  <si>
    <t>AMERICANO DO BRASIL-GO</t>
  </si>
  <si>
    <t>AMERICO BRASILIENSE-SP</t>
  </si>
  <si>
    <t>AMERICO DE CAMPOS-SP</t>
  </si>
  <si>
    <t>AMETISTA DO SUL-RS</t>
  </si>
  <si>
    <t>AMONTADA-CE</t>
  </si>
  <si>
    <t>AMORINOPOLIS-GO</t>
  </si>
  <si>
    <t>AMPARO-PB</t>
  </si>
  <si>
    <t>AMPARO-SP</t>
  </si>
  <si>
    <t>AMPARO DO SAO FRANCISCO-SE</t>
  </si>
  <si>
    <t>AMPARO DO SERRA-MG</t>
  </si>
  <si>
    <t>AMPERE-PR</t>
  </si>
  <si>
    <t>ANADIA-AL</t>
  </si>
  <si>
    <t>ANAGE-BA</t>
  </si>
  <si>
    <t>ANAHY-PR</t>
  </si>
  <si>
    <t>ANAJAS-PA</t>
  </si>
  <si>
    <t>ANAJATUBA-MA</t>
  </si>
  <si>
    <t>ANALANDIA-SP</t>
  </si>
  <si>
    <t>ANAMA-AM</t>
  </si>
  <si>
    <t>ANANAS-TO</t>
  </si>
  <si>
    <t>ANANINDEUA-PA</t>
  </si>
  <si>
    <t>ANAPOLIS-GO</t>
  </si>
  <si>
    <t>ANAPU-PA</t>
  </si>
  <si>
    <t>ANAPURUS-MA</t>
  </si>
  <si>
    <t>ANASTACIO-MS</t>
  </si>
  <si>
    <t>ANAURILANDIA-MS</t>
  </si>
  <si>
    <t>ANCHIETA-ES</t>
  </si>
  <si>
    <t>ANCHIETA-SC</t>
  </si>
  <si>
    <t>ANDARAI-BA</t>
  </si>
  <si>
    <t>ANDIRA-PR</t>
  </si>
  <si>
    <t>ANDORINHA-BA</t>
  </si>
  <si>
    <t>ANDRADAS-MG</t>
  </si>
  <si>
    <t>ANDRADINA-SP</t>
  </si>
  <si>
    <t>ANDRE DA ROCHA-RS</t>
  </si>
  <si>
    <t>ANDRELANDIA-MG</t>
  </si>
  <si>
    <t>ANGATUBA-SP</t>
  </si>
  <si>
    <t>ANGELANDIA-MG</t>
  </si>
  <si>
    <t>ANGELICA-MS</t>
  </si>
  <si>
    <t>ANGELIM-PE</t>
  </si>
  <si>
    <t>ANGELINA-SC</t>
  </si>
  <si>
    <t>ANGICAL-BA</t>
  </si>
  <si>
    <t>ANGICAL DO PIAUI-PI</t>
  </si>
  <si>
    <t>ANGICO-TO</t>
  </si>
  <si>
    <t>ANGICOS-RN</t>
  </si>
  <si>
    <t>ANGRA DOS REIS-RJ</t>
  </si>
  <si>
    <t>ANGUERA-BA</t>
  </si>
  <si>
    <t>ANGULO-PR</t>
  </si>
  <si>
    <t>ANHANGUERA-GO</t>
  </si>
  <si>
    <t>ANHEMBI-SP</t>
  </si>
  <si>
    <t>ANHUMAS-SP</t>
  </si>
  <si>
    <t>ANICUNS-GO</t>
  </si>
  <si>
    <t>ANISIO DE ABREU-PI</t>
  </si>
  <si>
    <t>ANITA GARIBALDI-SC</t>
  </si>
  <si>
    <t>ANITAPOLIS-SC</t>
  </si>
  <si>
    <t>ANORI-AM</t>
  </si>
  <si>
    <t>ANTA GORDA-RS</t>
  </si>
  <si>
    <t>ANTAS-BA</t>
  </si>
  <si>
    <t>ANTONINA-PR</t>
  </si>
  <si>
    <t>ANTONINA DO NORTE-CE</t>
  </si>
  <si>
    <t>ANTONIO ALMEIDA-PI</t>
  </si>
  <si>
    <t>ANTONIO CARDOSO-BA</t>
  </si>
  <si>
    <t>ANTONIO CARLOS-MG</t>
  </si>
  <si>
    <t>ANTONIO CARLOS-SC</t>
  </si>
  <si>
    <t>ANTONIO DIAS-MG</t>
  </si>
  <si>
    <t>ANTONIO GONCALVES-BA</t>
  </si>
  <si>
    <t>ANTONIO JOAO-MS</t>
  </si>
  <si>
    <t>ANTONIO MARTINS-RN</t>
  </si>
  <si>
    <t>ANTONIO OLINTO-PR</t>
  </si>
  <si>
    <t>ANTONIO PRADO-RS</t>
  </si>
  <si>
    <t>ANTONIO PRADO DE MINAS-MG</t>
  </si>
  <si>
    <t>APARECIDA-PB</t>
  </si>
  <si>
    <t>APARECIDA-SP</t>
  </si>
  <si>
    <t>APARECIDA DE GOIANIA-GO</t>
  </si>
  <si>
    <t>APARECIDA DO RIO DOCE-GO</t>
  </si>
  <si>
    <t>APARECIDA DO RIO NEGRO-TO</t>
  </si>
  <si>
    <t>APARECIDA DO TABOADO-MS</t>
  </si>
  <si>
    <t>APARECIDA D'OESTE-SP</t>
  </si>
  <si>
    <t>APERIBE-RJ</t>
  </si>
  <si>
    <t>APIACA-ES</t>
  </si>
  <si>
    <t>APIACAS-MT</t>
  </si>
  <si>
    <t>APIAI-SP</t>
  </si>
  <si>
    <t>APICUM-ACU-MA</t>
  </si>
  <si>
    <t>APIUNA-SC</t>
  </si>
  <si>
    <t>APODI-RN</t>
  </si>
  <si>
    <t>APORA-BA</t>
  </si>
  <si>
    <t>APORE-GO</t>
  </si>
  <si>
    <t>APUAREMA-BA</t>
  </si>
  <si>
    <t>APUCARANA-PR</t>
  </si>
  <si>
    <t>APUI-AM</t>
  </si>
  <si>
    <t>APUIARES-CE</t>
  </si>
  <si>
    <t>AQUIDABA-SE</t>
  </si>
  <si>
    <t>AQUIDAUANA-MS</t>
  </si>
  <si>
    <t>AQUIRAZ-CE</t>
  </si>
  <si>
    <t>ARABUTA-SC</t>
  </si>
  <si>
    <t>ARACAGI-PB</t>
  </si>
  <si>
    <t>ARACAI-MG</t>
  </si>
  <si>
    <t>ARACAJU-SE</t>
  </si>
  <si>
    <t>ARACARIGUAMA-SP</t>
  </si>
  <si>
    <t>ARACAS-BA</t>
  </si>
  <si>
    <t>ARACATI-CE</t>
  </si>
  <si>
    <t>ARACATU-BA</t>
  </si>
  <si>
    <t>ARACATUBA-SP</t>
  </si>
  <si>
    <t>ARACI-BA</t>
  </si>
  <si>
    <t>ARACITABA-MG</t>
  </si>
  <si>
    <t>ARACOIABA-CE</t>
  </si>
  <si>
    <t>ARACOIABA-PE</t>
  </si>
  <si>
    <t>ARACOIABA DA SERRA-SP</t>
  </si>
  <si>
    <t>ARACRUZ-ES</t>
  </si>
  <si>
    <t>ARACU-GO</t>
  </si>
  <si>
    <t>ARACUAI-MG</t>
  </si>
  <si>
    <t>ARAGARCAS-GO</t>
  </si>
  <si>
    <t>ARAGOIANIA-GO</t>
  </si>
  <si>
    <t>ARAGOMINAS-TO</t>
  </si>
  <si>
    <t>ARAGUACEMA-TO</t>
  </si>
  <si>
    <t>ARAGUACU-TO</t>
  </si>
  <si>
    <t>ARAGUAIANA-MT</t>
  </si>
  <si>
    <t>ARAGUAINA-TO</t>
  </si>
  <si>
    <t>ARAGUAINHA-MT</t>
  </si>
  <si>
    <t>ARAGUANA-MA</t>
  </si>
  <si>
    <t>ARAGUANA-TO</t>
  </si>
  <si>
    <t>ARAGUAPAZ-GO</t>
  </si>
  <si>
    <t>ARAGUARI-MG</t>
  </si>
  <si>
    <t>ARAGUATINS-TO</t>
  </si>
  <si>
    <t>ARAIOSES-MA</t>
  </si>
  <si>
    <t>ARAL MOREIRA-MS</t>
  </si>
  <si>
    <t>ARAMARI-BA</t>
  </si>
  <si>
    <t>ARAMBARE-RS</t>
  </si>
  <si>
    <t>ARAME-MA</t>
  </si>
  <si>
    <t>ARAMINA-SP</t>
  </si>
  <si>
    <t>ARANDU-SP</t>
  </si>
  <si>
    <t>ARANTINA-MG</t>
  </si>
  <si>
    <t>ARAPEI-SP</t>
  </si>
  <si>
    <t>ARAPIRACA-AL</t>
  </si>
  <si>
    <t>ARAPOEMA-TO</t>
  </si>
  <si>
    <t>ARAPONGA-MG</t>
  </si>
  <si>
    <t>ARAPONGAS-PR</t>
  </si>
  <si>
    <t>ARAPORA-MG</t>
  </si>
  <si>
    <t>ARAPOTI-PR</t>
  </si>
  <si>
    <t>ARAPUA-MG</t>
  </si>
  <si>
    <t>ARAPUA-PR</t>
  </si>
  <si>
    <t>ARAPUTANGA-MT</t>
  </si>
  <si>
    <t>ARAQUARI-SC</t>
  </si>
  <si>
    <t>ARARA-PB</t>
  </si>
  <si>
    <t>ARARANGUA-SC</t>
  </si>
  <si>
    <t>ARARAQUARA-SP</t>
  </si>
  <si>
    <t>ARARAS-SP</t>
  </si>
  <si>
    <t>ARARENDA-CE</t>
  </si>
  <si>
    <t>ARARI-MA</t>
  </si>
  <si>
    <t>ARARICA-RS</t>
  </si>
  <si>
    <t>ARARIPE-CE</t>
  </si>
  <si>
    <t>ARARIPINA-PE</t>
  </si>
  <si>
    <t>ARARUAMA-RJ</t>
  </si>
  <si>
    <t>ARARUNA-PB</t>
  </si>
  <si>
    <t>ARARUNA-PR</t>
  </si>
  <si>
    <t>ARATACA-BA</t>
  </si>
  <si>
    <t>ARATIBA-RS</t>
  </si>
  <si>
    <t>ARATUBA-CE</t>
  </si>
  <si>
    <t>ARATUIPE-BA</t>
  </si>
  <si>
    <t>ARAUA-SE</t>
  </si>
  <si>
    <t>ARAUCARIA-PR</t>
  </si>
  <si>
    <t>ARAUJOS-MG</t>
  </si>
  <si>
    <t>ARAXA-MG</t>
  </si>
  <si>
    <t>ARCEBURGO-MG</t>
  </si>
  <si>
    <t>ARCO-IRIS-SP</t>
  </si>
  <si>
    <t>ARCOS-MG</t>
  </si>
  <si>
    <t>ARCOVERDE-PE</t>
  </si>
  <si>
    <t>AREADO-MG</t>
  </si>
  <si>
    <t>AREAL-RJ</t>
  </si>
  <si>
    <t>AREALVA-SP</t>
  </si>
  <si>
    <t>AREIA-PB</t>
  </si>
  <si>
    <t>AREIA BRANCA-RN</t>
  </si>
  <si>
    <t>AREIA BRANCA-SE</t>
  </si>
  <si>
    <t>AREIA DE BARAUNAS-PB</t>
  </si>
  <si>
    <t>AREIAL-PB</t>
  </si>
  <si>
    <t>AREIAS-SP</t>
  </si>
  <si>
    <t>AREIOPOLIS-SP</t>
  </si>
  <si>
    <t>ARENAPOLIS-MT</t>
  </si>
  <si>
    <t>ARENOPOLIS-GO</t>
  </si>
  <si>
    <t>ARES-RN</t>
  </si>
  <si>
    <t>ARGIRITA-MG</t>
  </si>
  <si>
    <t>ARICANDUVA-MG</t>
  </si>
  <si>
    <t>ARINOS-MG</t>
  </si>
  <si>
    <t>ARIPUANA-MT</t>
  </si>
  <si>
    <t>ARIQUEMES-RO</t>
  </si>
  <si>
    <t>ARIRANHA-SP</t>
  </si>
  <si>
    <t>ARIRANHA DO IVAI-PR</t>
  </si>
  <si>
    <t>ARMACAO DOS BUZIOS-RJ</t>
  </si>
  <si>
    <t>ARMAZEM-SC</t>
  </si>
  <si>
    <t>ARNEIROZ-CE</t>
  </si>
  <si>
    <t>AROAZES-PI</t>
  </si>
  <si>
    <t>AROEIRAS-PB</t>
  </si>
  <si>
    <t>AROEIRAS DO ITAIM-PI</t>
  </si>
  <si>
    <t>ARRAIAL-PI</t>
  </si>
  <si>
    <t>ARRAIAL DO CABO-RJ</t>
  </si>
  <si>
    <t>ARRAIAS-TO</t>
  </si>
  <si>
    <t>ARROIO DO MEIO-RS</t>
  </si>
  <si>
    <t>ARROIO DO PADRE-RS</t>
  </si>
  <si>
    <t>ARROIO DO SAL-RS</t>
  </si>
  <si>
    <t>ARROIO DO TIGRE-RS</t>
  </si>
  <si>
    <t>ARROIO DOS RATOS-RS</t>
  </si>
  <si>
    <t>ARROIO GRANDE-RS</t>
  </si>
  <si>
    <t>ARROIO TRINTA-SC</t>
  </si>
  <si>
    <t>ARTUR NOGUEIRA-SP</t>
  </si>
  <si>
    <t>ARUANA-GO</t>
  </si>
  <si>
    <t>ARUJA-SP</t>
  </si>
  <si>
    <t>ARVOREDO-SC</t>
  </si>
  <si>
    <t>ARVOREZINHA-RS</t>
  </si>
  <si>
    <t>ASCURRA-SC</t>
  </si>
  <si>
    <t>ASPASIA-SP</t>
  </si>
  <si>
    <t>ASSAI-PR</t>
  </si>
  <si>
    <t>ASSARE-CE</t>
  </si>
  <si>
    <t>ASSIS-SP</t>
  </si>
  <si>
    <t>ASSIS BRASIL-AC</t>
  </si>
  <si>
    <t>ASSIS CHATEAUBRIAND-PR</t>
  </si>
  <si>
    <t>ASSUNCAO-PB</t>
  </si>
  <si>
    <t>ASSUNCAO DO PIAUI-PI</t>
  </si>
  <si>
    <t>ASTOLFO DUTRA-MG</t>
  </si>
  <si>
    <t>ASTORGA-PR</t>
  </si>
  <si>
    <t>ATALAIA-AL</t>
  </si>
  <si>
    <t>ATALAIA-PR</t>
  </si>
  <si>
    <t>ATALAIA DO NORTE-AM</t>
  </si>
  <si>
    <t>ATALANTA-SC</t>
  </si>
  <si>
    <t>ATALEIA-MG</t>
  </si>
  <si>
    <t>ATIBAIA-SP</t>
  </si>
  <si>
    <t>ATILIO VIVACQUA-ES</t>
  </si>
  <si>
    <t>AUGUSTINOPOLIS-TO</t>
  </si>
  <si>
    <t>AUGUSTO CORREA-PA</t>
  </si>
  <si>
    <t>AUGUSTO DE LIMA-MG</t>
  </si>
  <si>
    <t>AUGUSTO PESTANA-RS</t>
  </si>
  <si>
    <t>AUREA-RS</t>
  </si>
  <si>
    <t>AURELINO LEAL-BA</t>
  </si>
  <si>
    <t>AURIFLAMA-SP</t>
  </si>
  <si>
    <t>AURILANDIA-GO</t>
  </si>
  <si>
    <t>AURORA-CE</t>
  </si>
  <si>
    <t>AURORA-SC</t>
  </si>
  <si>
    <t>AURORA DO PARA-PA</t>
  </si>
  <si>
    <t>AURORA DO TOCANTINS-TO</t>
  </si>
  <si>
    <t>AUTAZES-AM</t>
  </si>
  <si>
    <t>AVAI-SP</t>
  </si>
  <si>
    <t>AVANHANDAVA-SP</t>
  </si>
  <si>
    <t>AVARE-SP</t>
  </si>
  <si>
    <t>AVEIRO-PA</t>
  </si>
  <si>
    <t>AVELINO LOPES-PI</t>
  </si>
  <si>
    <t>AVELINOPOLIS-GO</t>
  </si>
  <si>
    <t>AXIXA-MA</t>
  </si>
  <si>
    <t>AXIXA DO TOCANTINS-TO</t>
  </si>
  <si>
    <t>BABACULANDIA-TO</t>
  </si>
  <si>
    <t>BACABAL-MA</t>
  </si>
  <si>
    <t>BACABEIRA-MA</t>
  </si>
  <si>
    <t>BACURI-MA</t>
  </si>
  <si>
    <t>BACURITUBA-MA</t>
  </si>
  <si>
    <t>BADY BASSITT-SP</t>
  </si>
  <si>
    <t>BAEPENDI-MG</t>
  </si>
  <si>
    <t>BAGE-RS</t>
  </si>
  <si>
    <t>BAGRE-PA</t>
  </si>
  <si>
    <t>BAIA DA TRAICAO-PB</t>
  </si>
  <si>
    <t>BAIA FORMOSA-RN</t>
  </si>
  <si>
    <t>BAIANOPOLIS-BA</t>
  </si>
  <si>
    <t>BAIAO-PA</t>
  </si>
  <si>
    <t>BAIXA GRANDE-BA</t>
  </si>
  <si>
    <t>BAIXA GRANDE DO RIBEIRO-PI</t>
  </si>
  <si>
    <t>BAIXIO-CE</t>
  </si>
  <si>
    <t>BAIXO GUANDU-ES</t>
  </si>
  <si>
    <t>BALBINOS-SP</t>
  </si>
  <si>
    <t>BALDIM-MG</t>
  </si>
  <si>
    <t>BALIZA-GO</t>
  </si>
  <si>
    <t>BALNEARIO ARROIO DO SILVA-SC</t>
  </si>
  <si>
    <t>BALNEARIO BARRA DO SUL-SC</t>
  </si>
  <si>
    <t>BALNEARIO CAMBORIU-SC</t>
  </si>
  <si>
    <t>BALNEARIO GAIVOTA-SC</t>
  </si>
  <si>
    <t>BALNEARIO PICARRAS-SC</t>
  </si>
  <si>
    <t>BALNEARIO PINHAL-RS</t>
  </si>
  <si>
    <t>BALNEARIO RINCAO-SC</t>
  </si>
  <si>
    <t>BALSA NOVA-PR</t>
  </si>
  <si>
    <t>BALSAMO-SP</t>
  </si>
  <si>
    <t>BALSAS-MA</t>
  </si>
  <si>
    <t>BAMBUI-MG</t>
  </si>
  <si>
    <t>BANABUIU-CE</t>
  </si>
  <si>
    <t>BANANAL-SP</t>
  </si>
  <si>
    <t>BANANEIRAS-PB</t>
  </si>
  <si>
    <t>BANDEIRA-MG</t>
  </si>
  <si>
    <t>BANDEIRA DO SUL-MG</t>
  </si>
  <si>
    <t>BANDEIRANTE-SC</t>
  </si>
  <si>
    <t>BANDEIRANTES-MS</t>
  </si>
  <si>
    <t>BANDEIRANTES-PR</t>
  </si>
  <si>
    <t>BANDEIRANTES DO TOCANTINS-TO</t>
  </si>
  <si>
    <t>BANNACH-PA</t>
  </si>
  <si>
    <t>BANZAE-BA</t>
  </si>
  <si>
    <t>BARAO-RS</t>
  </si>
  <si>
    <t>BARAO DE ANTONINA-SP</t>
  </si>
  <si>
    <t>BARAO DE COCAIS-MG</t>
  </si>
  <si>
    <t>BARAO DE COTEGIPE-RS</t>
  </si>
  <si>
    <t>BARAO DE GRAJAU-MA</t>
  </si>
  <si>
    <t>BARAO DE MELGACO-MT</t>
  </si>
  <si>
    <t>BARAO DO MONTE ALTO-MG</t>
  </si>
  <si>
    <t>BARAO DO TRIUNFO-RS</t>
  </si>
  <si>
    <t>BARAUNA-PB</t>
  </si>
  <si>
    <t>BARAUNA-RN</t>
  </si>
  <si>
    <t>BARBACENA-MG</t>
  </si>
  <si>
    <t>BARBALHA-CE</t>
  </si>
  <si>
    <t>BARBOSA-SP</t>
  </si>
  <si>
    <t>BARBOSA FERRAZ-PR</t>
  </si>
  <si>
    <t>BARCARENA-PA</t>
  </si>
  <si>
    <t>BARCELONA-RN</t>
  </si>
  <si>
    <t>BARCELOS-AM</t>
  </si>
  <si>
    <t>BARIRI-SP</t>
  </si>
  <si>
    <t>BARRA-BA</t>
  </si>
  <si>
    <t>BARRA BONITA-SC</t>
  </si>
  <si>
    <t>BARRA BONITA-SP</t>
  </si>
  <si>
    <t>BARRA DA ESTIVA-BA</t>
  </si>
  <si>
    <t>BARRA D'ALCANTARA-PI</t>
  </si>
  <si>
    <t>BARRA DE GUABIRABA-PE</t>
  </si>
  <si>
    <t>BARRA DE SANTA ROSA-PB</t>
  </si>
  <si>
    <t>BARRA DE SANTANA-PB</t>
  </si>
  <si>
    <t>BARRA DE SANTO ANTONIO-AL</t>
  </si>
  <si>
    <t>BARRA DE SAO FRANCISCO-ES</t>
  </si>
  <si>
    <t>BARRA DE SAO MIGUEL-AL</t>
  </si>
  <si>
    <t>BARRA DE SAO MIGUEL-PB</t>
  </si>
  <si>
    <t>BARRA DO BUGRES-MT</t>
  </si>
  <si>
    <t>BARRA DO CHAPEU-SP</t>
  </si>
  <si>
    <t>BARRA DO CHOCA-BA</t>
  </si>
  <si>
    <t>BARRA DO CORDA-MA</t>
  </si>
  <si>
    <t>BARRA DO GARCAS-MT</t>
  </si>
  <si>
    <t>BARRA DO GUARITA-RS</t>
  </si>
  <si>
    <t>BARRA DO JACARE-PR</t>
  </si>
  <si>
    <t>BARRA DO MENDES-BA</t>
  </si>
  <si>
    <t>BARRA DO OURO-TO</t>
  </si>
  <si>
    <t>BARRA DO PIRAI-RJ</t>
  </si>
  <si>
    <t>BARRA DO QUARAI-RS</t>
  </si>
  <si>
    <t>BARRA DO RIBEIRO-RS</t>
  </si>
  <si>
    <t>BARRA DO RIO AZUL-RS</t>
  </si>
  <si>
    <t>BARRA DO ROCHA-BA</t>
  </si>
  <si>
    <t>BARRA DO TURVO-SP</t>
  </si>
  <si>
    <t>BARRA DOS COQUEIROS-SE</t>
  </si>
  <si>
    <t>BARRA FUNDA-RS</t>
  </si>
  <si>
    <t>BARRA LONGA-MG</t>
  </si>
  <si>
    <t>BARRA MANSA-RJ</t>
  </si>
  <si>
    <t>BARRA VELHA-SC</t>
  </si>
  <si>
    <t>BARRACAO-PR</t>
  </si>
  <si>
    <t>BARRACAO-RS</t>
  </si>
  <si>
    <t>BARRAS-PI</t>
  </si>
  <si>
    <t>BARREIRA-CE</t>
  </si>
  <si>
    <t>BARREIRAS-BA</t>
  </si>
  <si>
    <t>BARREIRAS DO PIAUI-PI</t>
  </si>
  <si>
    <t>BARREIRINHA-AM</t>
  </si>
  <si>
    <t>BARREIRINHAS-MA</t>
  </si>
  <si>
    <t>BARREIROS-PE</t>
  </si>
  <si>
    <t>BARRETOS-SP</t>
  </si>
  <si>
    <t>BARRINHA-SP</t>
  </si>
  <si>
    <t>BARRO-CE</t>
  </si>
  <si>
    <t>BARRO ALTO-BA</t>
  </si>
  <si>
    <t>BARRO ALTO-GO</t>
  </si>
  <si>
    <t>BARRO DURO-PI</t>
  </si>
  <si>
    <t>BARRO PRETO-BA</t>
  </si>
  <si>
    <t>BARROCAS-BA</t>
  </si>
  <si>
    <t>BARROLANDIA-TO</t>
  </si>
  <si>
    <t>BARROQUINHA-CE</t>
  </si>
  <si>
    <t>BARROS CASSAL-RS</t>
  </si>
  <si>
    <t>BARROSO-MG</t>
  </si>
  <si>
    <t>BARUERI-SP</t>
  </si>
  <si>
    <t>BASTOS-SP</t>
  </si>
  <si>
    <t>BATAGUASSU-MS</t>
  </si>
  <si>
    <t>BATALHA-AL</t>
  </si>
  <si>
    <t>BATALHA-PI</t>
  </si>
  <si>
    <t>BATATAIS-SP</t>
  </si>
  <si>
    <t>BATAYPORA-MS</t>
  </si>
  <si>
    <t>BATURITE-CE</t>
  </si>
  <si>
    <t>BAURU-SP</t>
  </si>
  <si>
    <t>BAYEUX-PB</t>
  </si>
  <si>
    <t>BEBEDOURO-SP</t>
  </si>
  <si>
    <t>BEBERIBE-CE</t>
  </si>
  <si>
    <t>BELA CRUZ-CE</t>
  </si>
  <si>
    <t>BELA VISTA-MS</t>
  </si>
  <si>
    <t>BELA VISTA DA CAROBA-PR</t>
  </si>
  <si>
    <t>BELA VISTA DE GOIAS-GO</t>
  </si>
  <si>
    <t>BELA VISTA DE MINAS-MG</t>
  </si>
  <si>
    <t>BELA VISTA DO MARANHAO-MA</t>
  </si>
  <si>
    <t>BELA VISTA DO PARAISO-PR</t>
  </si>
  <si>
    <t>BELA VISTA DO PIAUI-PI</t>
  </si>
  <si>
    <t>BELA VISTA DO TOLDO-SC</t>
  </si>
  <si>
    <t>BELAGUA-MA</t>
  </si>
  <si>
    <t>BELEM-AL</t>
  </si>
  <si>
    <t>BELEM-PA</t>
  </si>
  <si>
    <t>BELEM-PB</t>
  </si>
  <si>
    <t>BELEM DE MARIA-PE</t>
  </si>
  <si>
    <t>BELEM DO BREJO DO CRUZ-PB</t>
  </si>
  <si>
    <t>BELEM DO PIAUI-PI</t>
  </si>
  <si>
    <t>BELEM DO SAO FRANCISCO-PE</t>
  </si>
  <si>
    <t>BELFORD ROXO-RJ</t>
  </si>
  <si>
    <t>BELMIRO BRAGA-MG</t>
  </si>
  <si>
    <t>BELMONTE-BA</t>
  </si>
  <si>
    <t>BELMONTE-SC</t>
  </si>
  <si>
    <t>BELO CAMPO-BA</t>
  </si>
  <si>
    <t>BELO HORIZONTE-MG</t>
  </si>
  <si>
    <t>BELO JARDIM-PE</t>
  </si>
  <si>
    <t>BELO MONTE-AL</t>
  </si>
  <si>
    <t>BELO ORIENTE-MG</t>
  </si>
  <si>
    <t>BELO VALE-MG</t>
  </si>
  <si>
    <t>BELTERRA-PA</t>
  </si>
  <si>
    <t>BENEDITINOS-PI</t>
  </si>
  <si>
    <t>BENEDITO LEITE-MA</t>
  </si>
  <si>
    <t>BENEDITO NOVO-SC</t>
  </si>
  <si>
    <t>BENEVIDES-PA</t>
  </si>
  <si>
    <t>BENJAMIN CONSTANT-AM</t>
  </si>
  <si>
    <t>BENJAMIN CONSTANT DO SUL-RS</t>
  </si>
  <si>
    <t>BENTO DE ABREU-SP</t>
  </si>
  <si>
    <t>BENTO FERNANDES-RN</t>
  </si>
  <si>
    <t>BENTO GONCALVES-RS</t>
  </si>
  <si>
    <t>BEQUIMAO-MA</t>
  </si>
  <si>
    <t>BERILO-MG</t>
  </si>
  <si>
    <t>BERIZAL-MG</t>
  </si>
  <si>
    <t>BERNARDINO BATISTA-PB</t>
  </si>
  <si>
    <t>BERNARDINO DE CAMPOS-SP</t>
  </si>
  <si>
    <t>BERNARDO DO MEARIM-MA</t>
  </si>
  <si>
    <t>BERNARDO SAYAO-TO</t>
  </si>
  <si>
    <t>BERTIOGA-SP</t>
  </si>
  <si>
    <t>BERTOLINIA-PI</t>
  </si>
  <si>
    <t>BERTOPOLIS-MG</t>
  </si>
  <si>
    <t>BERURI-AM</t>
  </si>
  <si>
    <t>BETANIA-PE</t>
  </si>
  <si>
    <t>BETANIA DO PIAUI-PI</t>
  </si>
  <si>
    <t>BETIM-MG</t>
  </si>
  <si>
    <t>BEZERROS-PE</t>
  </si>
  <si>
    <t>BIAS FORTES-MG</t>
  </si>
  <si>
    <t>BICAS-MG</t>
  </si>
  <si>
    <t>BIGUACU-SC</t>
  </si>
  <si>
    <t>BILAC-SP</t>
  </si>
  <si>
    <t>BIQUINHAS-MG</t>
  </si>
  <si>
    <t>BIRIGUI-SP</t>
  </si>
  <si>
    <t>BIRITIBA MIRIM-SP</t>
  </si>
  <si>
    <t>BIRITINGA-BA</t>
  </si>
  <si>
    <t>BITURUNA-PR</t>
  </si>
  <si>
    <t>BLUMENAU-SC</t>
  </si>
  <si>
    <t>BOA ESPERANCA-ES</t>
  </si>
  <si>
    <t>BOA ESPERANCA-MG</t>
  </si>
  <si>
    <t>BOA ESPERANCA-PR</t>
  </si>
  <si>
    <t>BOA ESPERANCA DO IGUACU-PR</t>
  </si>
  <si>
    <t>BOA ESPERANCA DO NORTE-MT</t>
  </si>
  <si>
    <t>BOA ESPERANCA DO SUL-SP</t>
  </si>
  <si>
    <t>BOA HORA-PI</t>
  </si>
  <si>
    <t>BOA NOVA-BA</t>
  </si>
  <si>
    <t>BOA VENTURA-PB</t>
  </si>
  <si>
    <t>BOA VENTURA DE SAO ROQUE-PR</t>
  </si>
  <si>
    <t>BOA VIAGEM-CE</t>
  </si>
  <si>
    <t>BOA VISTA-PB</t>
  </si>
  <si>
    <t>BOA VISTA-RR</t>
  </si>
  <si>
    <t>BOA VISTA DA APARECIDA-PR</t>
  </si>
  <si>
    <t>BOA VISTA DAS MISSOES-RS</t>
  </si>
  <si>
    <t>BOA VISTA DO BURICA-RS</t>
  </si>
  <si>
    <t>BOA VISTA DO CADEADO-RS</t>
  </si>
  <si>
    <t>BOA VISTA DO GURUPI-MA</t>
  </si>
  <si>
    <t>BOA VISTA DO INCRA-RS</t>
  </si>
  <si>
    <t>BOA VISTA DO RAMOS-AM</t>
  </si>
  <si>
    <t>BOA VISTA DO SUL-RS</t>
  </si>
  <si>
    <t>BOA VISTA DO TUPIM-BA</t>
  </si>
  <si>
    <t>BOCA DA MATA-AL</t>
  </si>
  <si>
    <t>BOCA DO ACRE-AM</t>
  </si>
  <si>
    <t>BOCAINA-PI</t>
  </si>
  <si>
    <t>BOCAINA-SP</t>
  </si>
  <si>
    <t>BOCAINA DE MINAS-MG</t>
  </si>
  <si>
    <t>BOCAINA DO SUL-SC</t>
  </si>
  <si>
    <t>BOCAIUVA-MG</t>
  </si>
  <si>
    <t>BOCAIUVA DO SUL-PR</t>
  </si>
  <si>
    <t>BODO-RN</t>
  </si>
  <si>
    <t>BODOCO-PE</t>
  </si>
  <si>
    <t>BODOQUENA-MS</t>
  </si>
  <si>
    <t>BOFETE-SP</t>
  </si>
  <si>
    <t>BOITUVA-SP</t>
  </si>
  <si>
    <t>BOM CONSELHO-PE</t>
  </si>
  <si>
    <t>BOM DESPACHO-MG</t>
  </si>
  <si>
    <t>BOM JARDIM-MA</t>
  </si>
  <si>
    <t>BOM JARDIM-PE</t>
  </si>
  <si>
    <t>BOM JARDIM-RJ</t>
  </si>
  <si>
    <t>BOM JARDIM DA SERRA-SC</t>
  </si>
  <si>
    <t>BOM JARDIM DE GOIAS-GO</t>
  </si>
  <si>
    <t>BOM JARDIM DE MINAS-MG</t>
  </si>
  <si>
    <t>BOM JESUS-PB</t>
  </si>
  <si>
    <t>BOM JESUS-PI</t>
  </si>
  <si>
    <t>BOM JESUS-RN</t>
  </si>
  <si>
    <t>BOM JESUS-RS</t>
  </si>
  <si>
    <t>BOM JESUS-SC</t>
  </si>
  <si>
    <t>BOM JESUS DA LAPA-BA</t>
  </si>
  <si>
    <t>BOM JESUS DA PENHA-MG</t>
  </si>
  <si>
    <t>BOM JESUS DA SERRA-BA</t>
  </si>
  <si>
    <t>BOM JESUS DAS SELVAS-MA</t>
  </si>
  <si>
    <t>BOM JESUS DE GOIAS-GO</t>
  </si>
  <si>
    <t>BOM JESUS DO AMPARO-MG</t>
  </si>
  <si>
    <t>BOM JESUS DO ARAGUAIA-MT</t>
  </si>
  <si>
    <t>BOM JESUS DO GALHO-MG</t>
  </si>
  <si>
    <t>BOM JESUS DO ITABAPOANA-RJ</t>
  </si>
  <si>
    <t>BOM JESUS DO NORTE-ES</t>
  </si>
  <si>
    <t>BOM JESUS DO OESTE-SC</t>
  </si>
  <si>
    <t>BOM JESUS DO SUL-PR</t>
  </si>
  <si>
    <t>BOM JESUS DO TOCANTINS-PA</t>
  </si>
  <si>
    <t>BOM JESUS DO TOCANTINS-TO</t>
  </si>
  <si>
    <t>BOM JESUS DOS PERDOES-SP</t>
  </si>
  <si>
    <t>BOM LUGAR-MA</t>
  </si>
  <si>
    <t>BOM PRINCIPIO-RS</t>
  </si>
  <si>
    <t>BOM PRINCIPIO DO PIAUI-PI</t>
  </si>
  <si>
    <t>BOM PROGRESSO-RS</t>
  </si>
  <si>
    <t>BOM REPOUSO-MG</t>
  </si>
  <si>
    <t>BOM RETIRO-SC</t>
  </si>
  <si>
    <t>BOM RETIRO DO SUL-RS</t>
  </si>
  <si>
    <t>BOM SUCESSO-MG</t>
  </si>
  <si>
    <t>BOM SUCESSO-PB</t>
  </si>
  <si>
    <t>BOM SUCESSO-PR</t>
  </si>
  <si>
    <t>BOM SUCESSO DE ITARARE-SP</t>
  </si>
  <si>
    <t>BOM SUCESSO DO SUL-PR</t>
  </si>
  <si>
    <t>BOMBINHAS-SC</t>
  </si>
  <si>
    <t>BONFIM-MG</t>
  </si>
  <si>
    <t>BONFIM-RR</t>
  </si>
  <si>
    <t>BONFIM DO PIAUI-PI</t>
  </si>
  <si>
    <t>BONFINOPOLIS-GO</t>
  </si>
  <si>
    <t>BONFINOPOLIS DE MINAS-MG</t>
  </si>
  <si>
    <t>BONINAL-BA</t>
  </si>
  <si>
    <t>BONITO-BA</t>
  </si>
  <si>
    <t>BONITO-MS</t>
  </si>
  <si>
    <t>BONITO-PA</t>
  </si>
  <si>
    <t>BONITO-PE</t>
  </si>
  <si>
    <t>BONITO DE MINAS-MG</t>
  </si>
  <si>
    <t>BONITO DE SANTA FE-PB</t>
  </si>
  <si>
    <t>BONOPOLIS-GO</t>
  </si>
  <si>
    <t>BOQUEIRAO-PB</t>
  </si>
  <si>
    <t>BOQUEIRAO DO LEAO-RS</t>
  </si>
  <si>
    <t>BOQUEIRAO DO PIAUI-PI</t>
  </si>
  <si>
    <t>BOQUIM-SE</t>
  </si>
  <si>
    <t>BOQUIRA-BA</t>
  </si>
  <si>
    <t>BORA-SP</t>
  </si>
  <si>
    <t>BORACEIA-SP</t>
  </si>
  <si>
    <t>BORBA-AM</t>
  </si>
  <si>
    <t>BORBOREMA-PB</t>
  </si>
  <si>
    <t>BORBOREMA-SP</t>
  </si>
  <si>
    <t>BORDA DA MATA-MG</t>
  </si>
  <si>
    <t>BOREBI-SP</t>
  </si>
  <si>
    <t>BORRAZOPOLIS-PR</t>
  </si>
  <si>
    <t>BOSSOROCA-RS</t>
  </si>
  <si>
    <t>BOTELHOS-MG</t>
  </si>
  <si>
    <t>BOTUCATU-SP</t>
  </si>
  <si>
    <t>BOTUMIRIM-MG</t>
  </si>
  <si>
    <t>BOTUPORA-BA</t>
  </si>
  <si>
    <t>BOTUVERA-SC</t>
  </si>
  <si>
    <t>BOZANO-RS</t>
  </si>
  <si>
    <t>BRACO DO NORTE-SC</t>
  </si>
  <si>
    <t>BRACO DO TROMBUDO-SC</t>
  </si>
  <si>
    <t>BRAGA-RS</t>
  </si>
  <si>
    <t>BRAGANCA-PA</t>
  </si>
  <si>
    <t>BRAGANCA PAULISTA-SP</t>
  </si>
  <si>
    <t>BRAGANEY-PR</t>
  </si>
  <si>
    <t>BRANQUINHA-AL</t>
  </si>
  <si>
    <t>BRAS PIRES-MG</t>
  </si>
  <si>
    <t>BRASIL NOVO-PA</t>
  </si>
  <si>
    <t>BRASILANDIA-MS</t>
  </si>
  <si>
    <t>BRASILANDIA DE MINAS-MG</t>
  </si>
  <si>
    <t>BRASILANDIA DO SUL-PR</t>
  </si>
  <si>
    <t>BRASILANDIA DO TOCANTINS-TO</t>
  </si>
  <si>
    <t>BRASILEIA-AC</t>
  </si>
  <si>
    <t>BRASILEIRA-PI</t>
  </si>
  <si>
    <t>BRASILIA-DF</t>
  </si>
  <si>
    <t>BRASILIA DE MINAS-MG</t>
  </si>
  <si>
    <t>BRASNORTE-MT</t>
  </si>
  <si>
    <t>BRAUNA-SP</t>
  </si>
  <si>
    <t>BRAUNAS-MG</t>
  </si>
  <si>
    <t>BRAZABRANTES-GO</t>
  </si>
  <si>
    <t>BRAZOPOLIS-MG</t>
  </si>
  <si>
    <t>BREJAO-PE</t>
  </si>
  <si>
    <t>BREJETUBA-ES</t>
  </si>
  <si>
    <t>BREJINHO-PE</t>
  </si>
  <si>
    <t>BREJINHO-RN</t>
  </si>
  <si>
    <t>BREJINHO DE NAZARE-TO</t>
  </si>
  <si>
    <t>BREJO-MA</t>
  </si>
  <si>
    <t>BREJO ALEGRE-SP</t>
  </si>
  <si>
    <t>BREJO DA MADRE DE DEUS-PE</t>
  </si>
  <si>
    <t>BREJO DE AREIA-MA</t>
  </si>
  <si>
    <t>BREJO DO CRUZ-PB</t>
  </si>
  <si>
    <t>BREJO DO PIAUI-PI</t>
  </si>
  <si>
    <t>BREJO DOS SANTOS-PB</t>
  </si>
  <si>
    <t>BREJO GRANDE-SE</t>
  </si>
  <si>
    <t>BREJO GRANDE DO ARAGUAIA-PA</t>
  </si>
  <si>
    <t>BREJO SANTO-CE</t>
  </si>
  <si>
    <t>BREJOES-BA</t>
  </si>
  <si>
    <t>BREJOLANDIA-BA</t>
  </si>
  <si>
    <t>BREU BRANCO-PA</t>
  </si>
  <si>
    <t>BREVES-PA</t>
  </si>
  <si>
    <t>BRITANIA-GO</t>
  </si>
  <si>
    <t>BROCHIER-RS</t>
  </si>
  <si>
    <t>BRODOWSKI-SP</t>
  </si>
  <si>
    <t>BROTAS-SP</t>
  </si>
  <si>
    <t>BROTAS DE MACAUBAS-BA</t>
  </si>
  <si>
    <t>BRUMADINHO-MG</t>
  </si>
  <si>
    <t>BRUMADO-BA</t>
  </si>
  <si>
    <t>BRUNOPOLIS-SC</t>
  </si>
  <si>
    <t>BRUSQUE-SC</t>
  </si>
  <si>
    <t>BUENO BRANDAO-MG</t>
  </si>
  <si>
    <t>BUENOPOLIS-MG</t>
  </si>
  <si>
    <t>BUENOS AIRES-PE</t>
  </si>
  <si>
    <t>BUERAREMA-BA</t>
  </si>
  <si>
    <t>BUGRE-MG</t>
  </si>
  <si>
    <t>BUIQUE-PE</t>
  </si>
  <si>
    <t>BUJARI-AC</t>
  </si>
  <si>
    <t>BUJARU-PA</t>
  </si>
  <si>
    <t>BURI-SP</t>
  </si>
  <si>
    <t>BURITAMA-SP</t>
  </si>
  <si>
    <t>BURITI-MA</t>
  </si>
  <si>
    <t>BURITI ALEGRE-GO</t>
  </si>
  <si>
    <t>BURITI BRAVO-MA</t>
  </si>
  <si>
    <t>BURITI DE GOIAS-GO</t>
  </si>
  <si>
    <t>BURITI DO TOCANTINS-TO</t>
  </si>
  <si>
    <t>BURITI DOS LOPES-PI</t>
  </si>
  <si>
    <t>BURITI DOS MONTES-PI</t>
  </si>
  <si>
    <t>BURITICUPU-MA</t>
  </si>
  <si>
    <t>BURITINOPOLIS-GO</t>
  </si>
  <si>
    <t>BURITIRAMA-BA</t>
  </si>
  <si>
    <t>BURITIRANA-MA</t>
  </si>
  <si>
    <t>BURITIS-MG</t>
  </si>
  <si>
    <t>BURITIS-RO</t>
  </si>
  <si>
    <t>BURITIZAL-SP</t>
  </si>
  <si>
    <t>BURITIZEIRO-MG</t>
  </si>
  <si>
    <t>BUTIA-RS</t>
  </si>
  <si>
    <t>CAAPIRANGA-AM</t>
  </si>
  <si>
    <t>CAAPORA-PB</t>
  </si>
  <si>
    <t>CAARAPO-MS</t>
  </si>
  <si>
    <t>CAATIBA-BA</t>
  </si>
  <si>
    <t>CABACEIRAS-PB</t>
  </si>
  <si>
    <t>CABACEIRAS DO PARAGUACU-BA</t>
  </si>
  <si>
    <t>CABECEIRA GRANDE-MG</t>
  </si>
  <si>
    <t>CABECEIRAS-GO</t>
  </si>
  <si>
    <t>CABECEIRAS DO PIAUI-PI</t>
  </si>
  <si>
    <t>CABEDELO-PB</t>
  </si>
  <si>
    <t>CABIXI-RO</t>
  </si>
  <si>
    <t>CABO DE SANTO AGOSTINHO-PE</t>
  </si>
  <si>
    <t>CABO FRIO-RJ</t>
  </si>
  <si>
    <t>CABO VERDE-MG</t>
  </si>
  <si>
    <t>CABRALIA PAULISTA-SP</t>
  </si>
  <si>
    <t>CABREUVA-SP</t>
  </si>
  <si>
    <t>CABROBO-PE</t>
  </si>
  <si>
    <t>CACADOR-SC</t>
  </si>
  <si>
    <t>CACAPAVA-SP</t>
  </si>
  <si>
    <t>CACAPAVA DO SUL-RS</t>
  </si>
  <si>
    <t>CACAULANDIA-RO</t>
  </si>
  <si>
    <t>CACEQUI-RS</t>
  </si>
  <si>
    <t>CACERES-MT</t>
  </si>
  <si>
    <t>CACHOEIRA-BA</t>
  </si>
  <si>
    <t>CACHOEIRA ALTA-GO</t>
  </si>
  <si>
    <t>CACHOEIRA DA PRATA-MG</t>
  </si>
  <si>
    <t>CACHOEIRA DE GOIAS-GO</t>
  </si>
  <si>
    <t>CACHOEIRA DE MINAS-MG</t>
  </si>
  <si>
    <t>CACHOEIRA DE PAJEU-MG</t>
  </si>
  <si>
    <t>CACHOEIRA DO ARARI-PA</t>
  </si>
  <si>
    <t>CACHOEIRA DO PIRIA-PA</t>
  </si>
  <si>
    <t>CACHOEIRA DO SUL-RS</t>
  </si>
  <si>
    <t>CACHOEIRA DOS INDIOS-PB</t>
  </si>
  <si>
    <t>CACHOEIRA DOURADA-GO</t>
  </si>
  <si>
    <t>CACHOEIRA DOURADA-MG</t>
  </si>
  <si>
    <t>CACHOEIRA GRANDE-MA</t>
  </si>
  <si>
    <t>CACHOEIRA PAULISTA-SP</t>
  </si>
  <si>
    <t>CACHOEIRAS DE MACACU-RJ</t>
  </si>
  <si>
    <t>CACHOEIRINHA-PE</t>
  </si>
  <si>
    <t>CACHOEIRINHA-RS</t>
  </si>
  <si>
    <t>CACHOEIRINHA-TO</t>
  </si>
  <si>
    <t>CACHOEIRO DE ITAPEMIRIM-ES</t>
  </si>
  <si>
    <t>CACIMBA DE AREIA-PB</t>
  </si>
  <si>
    <t>CACIMBA DE DENTRO-PB</t>
  </si>
  <si>
    <t>CACIMBAS-PB</t>
  </si>
  <si>
    <t>CACIMBINHAS-AL</t>
  </si>
  <si>
    <t>CACIQUE DOBLE-RS</t>
  </si>
  <si>
    <t>CACOAL-RO</t>
  </si>
  <si>
    <t>CACONDE-SP</t>
  </si>
  <si>
    <t>CACU-GO</t>
  </si>
  <si>
    <t>CACULE-BA</t>
  </si>
  <si>
    <t>CAEM-BA</t>
  </si>
  <si>
    <t>CAETANOPOLIS-MG</t>
  </si>
  <si>
    <t>CAETANOS-BA</t>
  </si>
  <si>
    <t>CAETE-MG</t>
  </si>
  <si>
    <t>CAETES-PE</t>
  </si>
  <si>
    <t>CAETITE-BA</t>
  </si>
  <si>
    <t>CAFARNAUM-BA</t>
  </si>
  <si>
    <t>CAFEARA-PR</t>
  </si>
  <si>
    <t>CAFELANDIA-PR</t>
  </si>
  <si>
    <t>CAFELANDIA-SP</t>
  </si>
  <si>
    <t>CAFEZAL DO SUL-PR</t>
  </si>
  <si>
    <t>CAIABU-SP</t>
  </si>
  <si>
    <t>CAIANA-MG</t>
  </si>
  <si>
    <t>CAIAPONIA-GO</t>
  </si>
  <si>
    <t>CAIBATE-RS</t>
  </si>
  <si>
    <t>CAIBI-SC</t>
  </si>
  <si>
    <t>CAICARA-PB</t>
  </si>
  <si>
    <t>CAICARA-RS</t>
  </si>
  <si>
    <t>CAICARA DO NORTE-RN</t>
  </si>
  <si>
    <t>CAICARA DO RIO DO VENTO-RN</t>
  </si>
  <si>
    <t>CAICO-RN</t>
  </si>
  <si>
    <t>CAIEIRAS-SP</t>
  </si>
  <si>
    <t>CAIRU-BA</t>
  </si>
  <si>
    <t>CAIUA-SP</t>
  </si>
  <si>
    <t>CAJAMAR-SP</t>
  </si>
  <si>
    <t>CAJAPIO-MA</t>
  </si>
  <si>
    <t>CAJARI-MA</t>
  </si>
  <si>
    <t>CAJATI-SP</t>
  </si>
  <si>
    <t>CAJAZEIRAS-PB</t>
  </si>
  <si>
    <t>CAJAZEIRAS DO PIAUI-PI</t>
  </si>
  <si>
    <t>CAJAZEIRINHAS-PB</t>
  </si>
  <si>
    <t>CAJOBI-SP</t>
  </si>
  <si>
    <t>CAJUEIRO-AL</t>
  </si>
  <si>
    <t>CAJUEIRO DA PRAIA-PI</t>
  </si>
  <si>
    <t>CAJURI-MG</t>
  </si>
  <si>
    <t>CAJURU-SP</t>
  </si>
  <si>
    <t>CALCADO-PE</t>
  </si>
  <si>
    <t>CALCOENE-AP</t>
  </si>
  <si>
    <t>CALDAS-MG</t>
  </si>
  <si>
    <t>CALDAS BRANDAO-PB</t>
  </si>
  <si>
    <t>CALDAS NOVAS-GO</t>
  </si>
  <si>
    <t>CALDAZINHA-GO</t>
  </si>
  <si>
    <t>CALDEIRAO GRANDE-BA</t>
  </si>
  <si>
    <t>CALDEIRAO GRANDE DO PIAUI-PI</t>
  </si>
  <si>
    <t>CALIFORNIA-PR</t>
  </si>
  <si>
    <t>CALMON-SC</t>
  </si>
  <si>
    <t>CALUMBI-PE</t>
  </si>
  <si>
    <t>CAMACAN-BA</t>
  </si>
  <si>
    <t>CAMACARI-BA</t>
  </si>
  <si>
    <t>CAMACHO-MG</t>
  </si>
  <si>
    <t>CAMALAU-PB</t>
  </si>
  <si>
    <t>CAMAMU-BA</t>
  </si>
  <si>
    <t>CAMANDUCAIA-MG</t>
  </si>
  <si>
    <t>CAMAPUA-MS</t>
  </si>
  <si>
    <t>CAMAQUA-RS</t>
  </si>
  <si>
    <t>CAMARAGIBE-PE</t>
  </si>
  <si>
    <t>CAMARGO-RS</t>
  </si>
  <si>
    <t>CAMBARA-PR</t>
  </si>
  <si>
    <t>CAMBARA DO SUL-RS</t>
  </si>
  <si>
    <t>CAMBE-PR</t>
  </si>
  <si>
    <t>CAMBIRA-PR</t>
  </si>
  <si>
    <t>CAMBORIU-SC</t>
  </si>
  <si>
    <t>CAMBUCI-RJ</t>
  </si>
  <si>
    <t>CAMBUI-MG</t>
  </si>
  <si>
    <t>CAMBUQUIRA-MG</t>
  </si>
  <si>
    <t>CAMETA-PA</t>
  </si>
  <si>
    <t>CAMOCIM-CE</t>
  </si>
  <si>
    <t>CAMOCIM DE SAO FELIX-PE</t>
  </si>
  <si>
    <t>CAMPANARIO-MG</t>
  </si>
  <si>
    <t>CAMPANHA-MG</t>
  </si>
  <si>
    <t>CAMPESTRE-AL</t>
  </si>
  <si>
    <t>CAMPESTRE-MG</t>
  </si>
  <si>
    <t>CAMPESTRE DA SERRA-RS</t>
  </si>
  <si>
    <t>CAMPESTRE DE GOIAS-GO</t>
  </si>
  <si>
    <t>CAMPESTRE DO MARANHAO-MA</t>
  </si>
  <si>
    <t>CAMPINA DA LAGOA-PR</t>
  </si>
  <si>
    <t>CAMPINA DAS MISSOES-RS</t>
  </si>
  <si>
    <t>CAMPINA DO MONTE ALEGRE-SP</t>
  </si>
  <si>
    <t>CAMPINA DO SIMAO-PR</t>
  </si>
  <si>
    <t>CAMPINA GRANDE-PB</t>
  </si>
  <si>
    <t>CAMPINA GRANDE DO SUL-PR</t>
  </si>
  <si>
    <t>CAMPINA VERDE-MG</t>
  </si>
  <si>
    <t>CAMPINACU-GO</t>
  </si>
  <si>
    <t>CAMPINAPOLIS-MT</t>
  </si>
  <si>
    <t>CAMPINAS-SP</t>
  </si>
  <si>
    <t>CAMPINAS DO PIAUI-PI</t>
  </si>
  <si>
    <t>CAMPINAS DO SUL-RS</t>
  </si>
  <si>
    <t>CAMPINORTE-GO</t>
  </si>
  <si>
    <t>CAMPO ALEGRE-AL</t>
  </si>
  <si>
    <t>CAMPO ALEGRE-SC</t>
  </si>
  <si>
    <t>CAMPO ALEGRE DE GOIAS-GO</t>
  </si>
  <si>
    <t>CAMPO ALEGRE DE LOURDES-BA</t>
  </si>
  <si>
    <t>CAMPO ALEGRE DO FIDALGO-PI</t>
  </si>
  <si>
    <t>CAMPO AZUL-MG</t>
  </si>
  <si>
    <t>CAMPO BELO-MG</t>
  </si>
  <si>
    <t>CAMPO BELO DO SUL-SC</t>
  </si>
  <si>
    <t>CAMPO BOM-RS</t>
  </si>
  <si>
    <t>CAMPO BONITO-PR</t>
  </si>
  <si>
    <t>CAMPO DO BRITO-SE</t>
  </si>
  <si>
    <t>CAMPO DO MEIO-MG</t>
  </si>
  <si>
    <t>CAMPO DO TENENTE-PR</t>
  </si>
  <si>
    <t>CAMPO ERE-SC</t>
  </si>
  <si>
    <t>CAMPO FLORIDO-MG</t>
  </si>
  <si>
    <t>CAMPO FORMOSO-BA</t>
  </si>
  <si>
    <t>CAMPO GRANDE-AL</t>
  </si>
  <si>
    <t>CAMPO GRANDE-MS</t>
  </si>
  <si>
    <t>CAMPO GRANDE-RN</t>
  </si>
  <si>
    <t>CAMPO GRANDE DO PIAUI-PI</t>
  </si>
  <si>
    <t>CAMPO LARGO-PR</t>
  </si>
  <si>
    <t>CAMPO LARGO DO PIAUI-PI</t>
  </si>
  <si>
    <t>CAMPO LIMPO DE GOIAS-GO</t>
  </si>
  <si>
    <t>CAMPO LIMPO PAULISTA-SP</t>
  </si>
  <si>
    <t>CAMPO MAGRO-PR</t>
  </si>
  <si>
    <t>CAMPO MAIOR-PI</t>
  </si>
  <si>
    <t>CAMPO MOURAO-PR</t>
  </si>
  <si>
    <t>CAMPO NOVO-RS</t>
  </si>
  <si>
    <t>CAMPO NOVO DE RONDONIA-RO</t>
  </si>
  <si>
    <t>CAMPO NOVO DO PARECIS-MT</t>
  </si>
  <si>
    <t>CAMPO REDONDO-RN</t>
  </si>
  <si>
    <t>CAMPO VERDE-MT</t>
  </si>
  <si>
    <t>CAMPOS ALTOS-MG</t>
  </si>
  <si>
    <t>CAMPOS BELOS-GO</t>
  </si>
  <si>
    <t>CAMPOS BORGES-RS</t>
  </si>
  <si>
    <t>CAMPOS DE JULIO-MT</t>
  </si>
  <si>
    <t>CAMPOS DO JORDAO-SP</t>
  </si>
  <si>
    <t>CAMPOS DOS GOYTACAZES-RJ</t>
  </si>
  <si>
    <t>CAMPOS GERAIS-MG</t>
  </si>
  <si>
    <t>CAMPOS LINDOS-TO</t>
  </si>
  <si>
    <t>CAMPOS NOVOS-SC</t>
  </si>
  <si>
    <t>CAMPOS NOVOS PAULISTA-SP</t>
  </si>
  <si>
    <t>CAMPOS SALES-CE</t>
  </si>
  <si>
    <t>CAMPOS VERDES-GO</t>
  </si>
  <si>
    <t>CAMUTANGA-PE</t>
  </si>
  <si>
    <t>CANA VERDE-MG</t>
  </si>
  <si>
    <t>CANAA-MG</t>
  </si>
  <si>
    <t>CANAA DOS CARAJAS-PA</t>
  </si>
  <si>
    <t>CANABRAVA DO NORTE-MT</t>
  </si>
  <si>
    <t>CANANEIA-SP</t>
  </si>
  <si>
    <t>CANAPI-AL</t>
  </si>
  <si>
    <t>CANAPOLIS-BA</t>
  </si>
  <si>
    <t>CANAPOLIS-MG</t>
  </si>
  <si>
    <t>CANARANA-BA</t>
  </si>
  <si>
    <t>CANARANA-MT</t>
  </si>
  <si>
    <t>CANAS-SP</t>
  </si>
  <si>
    <t>CANAVIEIRA-PI</t>
  </si>
  <si>
    <t>CANAVIEIRAS-BA</t>
  </si>
  <si>
    <t>CANDEAL-BA</t>
  </si>
  <si>
    <t>CANDEIAS-BA</t>
  </si>
  <si>
    <t>CANDEIAS-MG</t>
  </si>
  <si>
    <t>CANDEIAS DO JAMARI-RO</t>
  </si>
  <si>
    <t>CANDELARIA-RS</t>
  </si>
  <si>
    <t>CANDIBA-BA</t>
  </si>
  <si>
    <t>CANDIDO DE ABREU-PR</t>
  </si>
  <si>
    <t>CANDIDO GODOI-RS</t>
  </si>
  <si>
    <t>CANDIDO MENDES-MA</t>
  </si>
  <si>
    <t>CANDIDO MOTA-SP</t>
  </si>
  <si>
    <t>CANDIDO RODRIGUES-SP</t>
  </si>
  <si>
    <t>CANDIDO SALES-BA</t>
  </si>
  <si>
    <t>CANDIOTA-RS</t>
  </si>
  <si>
    <t>CANDOI-PR</t>
  </si>
  <si>
    <t>CANELA-RS</t>
  </si>
  <si>
    <t>CANELINHA-SC</t>
  </si>
  <si>
    <t>CANGUARETAMA-RN</t>
  </si>
  <si>
    <t>CANGUCU-RS</t>
  </si>
  <si>
    <t>CANHOBA-SE</t>
  </si>
  <si>
    <t>CANHOTINHO-PE</t>
  </si>
  <si>
    <t>CANINDE-CE</t>
  </si>
  <si>
    <t>CANINDE DE SAO FRANCISCO-SE</t>
  </si>
  <si>
    <t>CANITAR-SP</t>
  </si>
  <si>
    <t>CANOAS-RS</t>
  </si>
  <si>
    <t>CANOINHAS-SC</t>
  </si>
  <si>
    <t>CANSANCAO-BA</t>
  </si>
  <si>
    <t>CANTA-RR</t>
  </si>
  <si>
    <t>CANTAGALO-MG</t>
  </si>
  <si>
    <t>CANTAGALO-PR</t>
  </si>
  <si>
    <t>CANTAGALO-RJ</t>
  </si>
  <si>
    <t>CANTANHEDE-MA</t>
  </si>
  <si>
    <t>CANTO DO BURITI-PI</t>
  </si>
  <si>
    <t>CANUDOS-BA</t>
  </si>
  <si>
    <t>CANUDOS DO VALE-RS</t>
  </si>
  <si>
    <t>CANUTAMA-AM</t>
  </si>
  <si>
    <t>CAPANEMA-PA</t>
  </si>
  <si>
    <t>CAPANEMA-PR</t>
  </si>
  <si>
    <t>CAPAO ALTO-SC</t>
  </si>
  <si>
    <t>CAPAO BONITO-SP</t>
  </si>
  <si>
    <t>CAPAO BONITO DO SUL-RS</t>
  </si>
  <si>
    <t>CAPAO DA CANOA-RS</t>
  </si>
  <si>
    <t>CAPAO DO CIPO-RS</t>
  </si>
  <si>
    <t>CAPAO DO LEAO-RS</t>
  </si>
  <si>
    <t>CAPARAO-MG</t>
  </si>
  <si>
    <t>CAPELA-AL</t>
  </si>
  <si>
    <t>CAPELA-SE</t>
  </si>
  <si>
    <t>CAPELA DE SANTANA-RS</t>
  </si>
  <si>
    <t>CAPELA DO ALTO-SP</t>
  </si>
  <si>
    <t>CAPELA DO ALTO ALEGRE-BA</t>
  </si>
  <si>
    <t>CAPELA NOVA-MG</t>
  </si>
  <si>
    <t>CAPELINHA-MG</t>
  </si>
  <si>
    <t>CAPETINGA-MG</t>
  </si>
  <si>
    <t>CAPIM-PB</t>
  </si>
  <si>
    <t>CAPIM BRANCO-MG</t>
  </si>
  <si>
    <t>CAPIM GROSSO-BA</t>
  </si>
  <si>
    <t>CAPINOPOLIS-MG</t>
  </si>
  <si>
    <t>CAPINZAL-SC</t>
  </si>
  <si>
    <t>CAPINZAL DO NORTE-MA</t>
  </si>
  <si>
    <t>CAPISTRANO-CE</t>
  </si>
  <si>
    <t>CAPITAO-RS</t>
  </si>
  <si>
    <t>CAPITAO ANDRADE-MG</t>
  </si>
  <si>
    <t>CAPITAO DE CAMPOS-PI</t>
  </si>
  <si>
    <t>CAPITAO ENEAS-MG</t>
  </si>
  <si>
    <t>CAPITAO GERVASIO OLIVEIRA-PI</t>
  </si>
  <si>
    <t>CAPITAO LEONIDAS MARQUES-PR</t>
  </si>
  <si>
    <t>CAPITAO POCO-PA</t>
  </si>
  <si>
    <t>CAPITOLIO-MG</t>
  </si>
  <si>
    <t>CAPIVARI-SP</t>
  </si>
  <si>
    <t>CAPIVARI DE BAIXO-SC</t>
  </si>
  <si>
    <t>CAPIVARI DO SUL-RS</t>
  </si>
  <si>
    <t>CAPIXABA-AC</t>
  </si>
  <si>
    <t>CAPOEIRAS-PE</t>
  </si>
  <si>
    <t>CAPUTIRA-MG</t>
  </si>
  <si>
    <t>CARAA-RS</t>
  </si>
  <si>
    <t>CARACARAI-RR</t>
  </si>
  <si>
    <t>CARACOL-MS</t>
  </si>
  <si>
    <t>CARACOL-PI</t>
  </si>
  <si>
    <t>CARAGUATATUBA-SP</t>
  </si>
  <si>
    <t>CARAI-MG</t>
  </si>
  <si>
    <t>CARAIBAS-BA</t>
  </si>
  <si>
    <t>CARAMBEI-PR</t>
  </si>
  <si>
    <t>CARANAIBA-MG</t>
  </si>
  <si>
    <t>CARANDAI-MG</t>
  </si>
  <si>
    <t>CARANGOLA-MG</t>
  </si>
  <si>
    <t>CARAPEBUS-RJ</t>
  </si>
  <si>
    <t>CARAPICUIBA-SP</t>
  </si>
  <si>
    <t>CARATINGA-MG</t>
  </si>
  <si>
    <t>CARAUARI-AM</t>
  </si>
  <si>
    <t>CARAUBAS-PB</t>
  </si>
  <si>
    <t>CARAUBAS-RN</t>
  </si>
  <si>
    <t>CARAUBAS DO PIAUI-PI</t>
  </si>
  <si>
    <t>CARAVELAS-BA</t>
  </si>
  <si>
    <t>CARAZINHO-RS</t>
  </si>
  <si>
    <t>CARBONITA-MG</t>
  </si>
  <si>
    <t>CARDEAL DA SILVA-BA</t>
  </si>
  <si>
    <t>CARDOSO-SP</t>
  </si>
  <si>
    <t>CARDOSO MOREIRA-RJ</t>
  </si>
  <si>
    <t>CAREACU-MG</t>
  </si>
  <si>
    <t>CAREIRO-AM</t>
  </si>
  <si>
    <t>CAREIRO DA VARZEA-AM</t>
  </si>
  <si>
    <t>CARIACICA-ES</t>
  </si>
  <si>
    <t>CARIDADE-CE</t>
  </si>
  <si>
    <t>CARIDADE DO PIAUI-PI</t>
  </si>
  <si>
    <t>CARINHANHA-BA</t>
  </si>
  <si>
    <t>CARIRA-SE</t>
  </si>
  <si>
    <t>CARIRE-CE</t>
  </si>
  <si>
    <t>CARIRI DO TOCANTINS-TO</t>
  </si>
  <si>
    <t>CARIRIACU-CE</t>
  </si>
  <si>
    <t>CARIUS-CE</t>
  </si>
  <si>
    <t>CARLINDA-MT</t>
  </si>
  <si>
    <t>CARLOPOLIS-PR</t>
  </si>
  <si>
    <t>CARLOS BARBOSA-RS</t>
  </si>
  <si>
    <t>CARLOS CHAGAS-MG</t>
  </si>
  <si>
    <t>CARLOS GOMES-RS</t>
  </si>
  <si>
    <t>CARMESIA-MG</t>
  </si>
  <si>
    <t>CARMO-RJ</t>
  </si>
  <si>
    <t>CARMO DA CACHOEIRA-MG</t>
  </si>
  <si>
    <t>CARMO DA MATA-MG</t>
  </si>
  <si>
    <t>CARMO DE MINAS-MG</t>
  </si>
  <si>
    <t>CARMO DO CAJURU-MG</t>
  </si>
  <si>
    <t>CARMO DO PARANAIBA-MG</t>
  </si>
  <si>
    <t>CARMO DO RIO CLARO-MG</t>
  </si>
  <si>
    <t>CARMO DO RIO VERDE-GO</t>
  </si>
  <si>
    <t>CARMOLANDIA-TO</t>
  </si>
  <si>
    <t>CARMOPOLIS-SE</t>
  </si>
  <si>
    <t>CARMOPOLIS DE MINAS-MG</t>
  </si>
  <si>
    <t>CARNAIBA-PE</t>
  </si>
  <si>
    <t>CARNAUBA DOS DANTAS-RN</t>
  </si>
  <si>
    <t>CARNAUBAIS-RN</t>
  </si>
  <si>
    <t>CARNAUBAL-CE</t>
  </si>
  <si>
    <t>CARNAUBEIRA DA PENHA-PE</t>
  </si>
  <si>
    <t>CARNEIRINHO-MG</t>
  </si>
  <si>
    <t>CARNEIROS-AL</t>
  </si>
  <si>
    <t>CAROEBE-RR</t>
  </si>
  <si>
    <t>CAROLINA-MA</t>
  </si>
  <si>
    <t>CARPINA-PE</t>
  </si>
  <si>
    <t>CARRANCAS-MG</t>
  </si>
  <si>
    <t>CARRAPATEIRA-PB</t>
  </si>
  <si>
    <t>CARRASCO BONITO-TO</t>
  </si>
  <si>
    <t>CARUARU-PE</t>
  </si>
  <si>
    <t>CARUTAPERA-MA</t>
  </si>
  <si>
    <t>CARVALHOPOLIS-MG</t>
  </si>
  <si>
    <t>CARVALHOS-MG</t>
  </si>
  <si>
    <t>CASA BRANCA-SP</t>
  </si>
  <si>
    <t>CASA GRANDE-MG</t>
  </si>
  <si>
    <t>CASA NOVA-BA</t>
  </si>
  <si>
    <t>CASCA-RS</t>
  </si>
  <si>
    <t>CASCALHO RICO-MG</t>
  </si>
  <si>
    <t>CASCAVEL-CE</t>
  </si>
  <si>
    <t>CASCAVEL-PR</t>
  </si>
  <si>
    <t>CASEARA-TO</t>
  </si>
  <si>
    <t>CASEIROS-RS</t>
  </si>
  <si>
    <t>CASIMIRO DE ABREU-RJ</t>
  </si>
  <si>
    <t>CASINHAS-PE</t>
  </si>
  <si>
    <t>CASSERENGUE-PB</t>
  </si>
  <si>
    <t>CASSIA-MG</t>
  </si>
  <si>
    <t>CASSIA DOS COQUEIROS-SP</t>
  </si>
  <si>
    <t>CASSILANDIA-MS</t>
  </si>
  <si>
    <t>CASTANHAL-PA</t>
  </si>
  <si>
    <t>CASTANHEIRA-MT</t>
  </si>
  <si>
    <t>CASTANHEIRAS-RO</t>
  </si>
  <si>
    <t>CASTELANDIA-GO</t>
  </si>
  <si>
    <t>CASTELO-ES</t>
  </si>
  <si>
    <t>CASTELO DO PIAUI-PI</t>
  </si>
  <si>
    <t>CASTILHO-SP</t>
  </si>
  <si>
    <t>CASTRO-PR</t>
  </si>
  <si>
    <t>CASTRO ALVES-BA</t>
  </si>
  <si>
    <t>CATAGUASES-MG</t>
  </si>
  <si>
    <t>CATALAO-GO</t>
  </si>
  <si>
    <t>CATANDUVA-SP</t>
  </si>
  <si>
    <t>CATANDUVAS-PR</t>
  </si>
  <si>
    <t>CATANDUVAS-SC</t>
  </si>
  <si>
    <t>CATARINA-CE</t>
  </si>
  <si>
    <t>CATAS ALTAS-MG</t>
  </si>
  <si>
    <t>CATAS ALTAS DA NORUEGA-MG</t>
  </si>
  <si>
    <t>CATENDE-PE</t>
  </si>
  <si>
    <t>CATIGUA-SP</t>
  </si>
  <si>
    <t>CATINGUEIRA-PB</t>
  </si>
  <si>
    <t>CATOLANDIA-BA</t>
  </si>
  <si>
    <t>CATOLE DO ROCHA-PB</t>
  </si>
  <si>
    <t>CATU-BA</t>
  </si>
  <si>
    <t>CATUIPE-RS</t>
  </si>
  <si>
    <t>CATUJI-MG</t>
  </si>
  <si>
    <t>CATUNDA-CE</t>
  </si>
  <si>
    <t>CATURAI-GO</t>
  </si>
  <si>
    <t>CATURAMA-BA</t>
  </si>
  <si>
    <t>CATURITE-PB</t>
  </si>
  <si>
    <t>CATUTI-MG</t>
  </si>
  <si>
    <t>CAUCAIA-CE</t>
  </si>
  <si>
    <t>CAVALCANTE-GO</t>
  </si>
  <si>
    <t>CAXAMBU-MG</t>
  </si>
  <si>
    <t>CAXAMBU DO SUL-SC</t>
  </si>
  <si>
    <t>CAXIAS-MA</t>
  </si>
  <si>
    <t>CAXIAS DO SUL-RS</t>
  </si>
  <si>
    <t>CAXINGO-PI</t>
  </si>
  <si>
    <t>CEARA-MIRIM-RN</t>
  </si>
  <si>
    <t>CEDRAL-MA</t>
  </si>
  <si>
    <t>CEDRAL-SP</t>
  </si>
  <si>
    <t>CEDRO-CE</t>
  </si>
  <si>
    <t>CEDRO-PE</t>
  </si>
  <si>
    <t>CEDRO DE SAO JOAO-SE</t>
  </si>
  <si>
    <t>CEDRO DO ABAETE-MG</t>
  </si>
  <si>
    <t>CELSO RAMOS-SC</t>
  </si>
  <si>
    <t>CENTENARIO-RS</t>
  </si>
  <si>
    <t>CENTENARIO-TO</t>
  </si>
  <si>
    <t>CENTENARIO DO SUL-PR</t>
  </si>
  <si>
    <t>CENTRAL-BA</t>
  </si>
  <si>
    <t>CENTRAL DE MINAS-MG</t>
  </si>
  <si>
    <t>CENTRAL DO MARANHAO-MA</t>
  </si>
  <si>
    <t>CENTRALINA-MG</t>
  </si>
  <si>
    <t>CENTRO DO GUILHERME-MA</t>
  </si>
  <si>
    <t>CENTRO NOVO DO MARANHAO-MA</t>
  </si>
  <si>
    <t>CEREJEIRAS-RO</t>
  </si>
  <si>
    <t>CERES-GO</t>
  </si>
  <si>
    <t>CERQUEIRA CESAR-SP</t>
  </si>
  <si>
    <t>CERQUILHO-SP</t>
  </si>
  <si>
    <t>CERRITO-RS</t>
  </si>
  <si>
    <t>CERRO AZUL-PR</t>
  </si>
  <si>
    <t>CERRO BRANCO-RS</t>
  </si>
  <si>
    <t>CERRO CORA-RN</t>
  </si>
  <si>
    <t>CERRO GRANDE-RS</t>
  </si>
  <si>
    <t>CERRO GRANDE DO SUL-RS</t>
  </si>
  <si>
    <t>CERRO LARGO-RS</t>
  </si>
  <si>
    <t>CERRO NEGRO-SC</t>
  </si>
  <si>
    <t>CESARIO LANGE-SP</t>
  </si>
  <si>
    <t>CEU AZUL-PR</t>
  </si>
  <si>
    <t>CEZARINA-GO</t>
  </si>
  <si>
    <t>CHA DE ALEGRIA-PE</t>
  </si>
  <si>
    <t>CHA GRANDE-PE</t>
  </si>
  <si>
    <t>CHA PRETA-AL</t>
  </si>
  <si>
    <t>CHACARA-MG</t>
  </si>
  <si>
    <t>CHALE-MG</t>
  </si>
  <si>
    <t>CHAPADA-RS</t>
  </si>
  <si>
    <t>CHAPADA DA NATIVIDADE-TO</t>
  </si>
  <si>
    <t>CHAPADA DE AREIA-TO</t>
  </si>
  <si>
    <t>CHAPADA DO NORTE-MG</t>
  </si>
  <si>
    <t>CHAPADA DOS GUIMARAES-MT</t>
  </si>
  <si>
    <t>CHAPADA GAUCHA-MG</t>
  </si>
  <si>
    <t>CHAPADAO DO CEU-GO</t>
  </si>
  <si>
    <t>CHAPADAO DO LAGEADO-SC</t>
  </si>
  <si>
    <t>CHAPADAO DO SUL-MS</t>
  </si>
  <si>
    <t>CHAPADINHA-MA</t>
  </si>
  <si>
    <t>CHAPECO-SC</t>
  </si>
  <si>
    <t>CHARQUEADA-SP</t>
  </si>
  <si>
    <t>CHARQUEADAS-RS</t>
  </si>
  <si>
    <t>CHARRUA-RS</t>
  </si>
  <si>
    <t>CHAVAL-CE</t>
  </si>
  <si>
    <t>CHAVANTES-SP</t>
  </si>
  <si>
    <t>CHAVES-PA</t>
  </si>
  <si>
    <t>CHIADOR-MG</t>
  </si>
  <si>
    <t>CHIAPETTA-RS</t>
  </si>
  <si>
    <t>CHOPINZINHO-PR</t>
  </si>
  <si>
    <t>CHORO-CE</t>
  </si>
  <si>
    <t>CHOROZINHO-CE</t>
  </si>
  <si>
    <t>CHORROCHO-BA</t>
  </si>
  <si>
    <t>CHUI-RS</t>
  </si>
  <si>
    <t>CHUPINGUAIA-RO</t>
  </si>
  <si>
    <t>CHUVISCA-RS</t>
  </si>
  <si>
    <t>CIANORTE-PR</t>
  </si>
  <si>
    <t>CICERO DANTAS-BA</t>
  </si>
  <si>
    <t>CIDADE GAUCHA-PR</t>
  </si>
  <si>
    <t>CIDADE OCIDENTAL-GO</t>
  </si>
  <si>
    <t>CIDELANDIA-MA</t>
  </si>
  <si>
    <t>CIDREIRA-RS</t>
  </si>
  <si>
    <t>CIPO-BA</t>
  </si>
  <si>
    <t>CIPOTANEA-MG</t>
  </si>
  <si>
    <t>CIRIACO-RS</t>
  </si>
  <si>
    <t>CLARAVAL-MG</t>
  </si>
  <si>
    <t>CLARO DOS POCOES-MG</t>
  </si>
  <si>
    <t>CLAUDIA-MT</t>
  </si>
  <si>
    <t>CLAUDIO-MG</t>
  </si>
  <si>
    <t>CLEMENTINA-SP</t>
  </si>
  <si>
    <t>CLEVELANDIA-PR</t>
  </si>
  <si>
    <t>COARACI-BA</t>
  </si>
  <si>
    <t>COARI-AM</t>
  </si>
  <si>
    <t>COCAL-PI</t>
  </si>
  <si>
    <t>COCAL DE TELHA-PI</t>
  </si>
  <si>
    <t>COCAL DO SUL-SC</t>
  </si>
  <si>
    <t>COCAL DOS ALVES-PI</t>
  </si>
  <si>
    <t>COCALINHO-MT</t>
  </si>
  <si>
    <t>COCALZINHO DE GOIAS-GO</t>
  </si>
  <si>
    <t>COCOS-BA</t>
  </si>
  <si>
    <t>CODAJAS-AM</t>
  </si>
  <si>
    <t>CODO-MA</t>
  </si>
  <si>
    <t>COELHO NETO-MA</t>
  </si>
  <si>
    <t>COIMBRA-MG</t>
  </si>
  <si>
    <t>COITE DO NOIA-AL</t>
  </si>
  <si>
    <t>COIVARAS-PI</t>
  </si>
  <si>
    <t>COLARES-PA</t>
  </si>
  <si>
    <t>COLATINA-ES</t>
  </si>
  <si>
    <t>COLIDER-MT</t>
  </si>
  <si>
    <t>COLINA-SP</t>
  </si>
  <si>
    <t>COLINAS-MA</t>
  </si>
  <si>
    <t>COLINAS-RS</t>
  </si>
  <si>
    <t>COLINAS DO SUL-GO</t>
  </si>
  <si>
    <t>COLINAS DO TOCANTINS-TO</t>
  </si>
  <si>
    <t>COLMEIA-TO</t>
  </si>
  <si>
    <t>COLNIZA-MT</t>
  </si>
  <si>
    <t>COLOMBIA-SP</t>
  </si>
  <si>
    <t>COLOMBO-PR</t>
  </si>
  <si>
    <t>COLONIA DO GURGUEIA-PI</t>
  </si>
  <si>
    <t>COLONIA DO PIAUI-PI</t>
  </si>
  <si>
    <t>COLONIA LEOPOLDINA-AL</t>
  </si>
  <si>
    <t>COLORADO-PR</t>
  </si>
  <si>
    <t>COLORADO-RS</t>
  </si>
  <si>
    <t>COLORADO DO OESTE-RO</t>
  </si>
  <si>
    <t>COLUNA-MG</t>
  </si>
  <si>
    <t>COMBINADO-TO</t>
  </si>
  <si>
    <t>COMENDADOR GOMES-MG</t>
  </si>
  <si>
    <t>COMENDADOR LEVY GASPARIAN-RJ</t>
  </si>
  <si>
    <t>COMERCINHO-MG</t>
  </si>
  <si>
    <t>COMODORO-MT</t>
  </si>
  <si>
    <t>CONCEICAO-PB</t>
  </si>
  <si>
    <t>CONCEICAO DA APARECIDA-MG</t>
  </si>
  <si>
    <t>CONCEICAO DA BARRA-ES</t>
  </si>
  <si>
    <t>CONCEICAO DA BARRA DE MINAS-MG</t>
  </si>
  <si>
    <t>CONCEICAO DA FEIRA-BA</t>
  </si>
  <si>
    <t>CONCEICAO DAS ALAGOAS-MG</t>
  </si>
  <si>
    <t>CONCEICAO DAS PEDRAS-MG</t>
  </si>
  <si>
    <t>CONCEICAO DE IPANEMA-MG</t>
  </si>
  <si>
    <t>CONCEICAO DE MACABU-RJ</t>
  </si>
  <si>
    <t>CONCEICAO DO ALMEIDA-BA</t>
  </si>
  <si>
    <t>CONCEICAO DO ARAGUAIA-PA</t>
  </si>
  <si>
    <t>CONCEICAO DO CANINDE-PI</t>
  </si>
  <si>
    <t>CONCEICAO DO CASTELO-ES</t>
  </si>
  <si>
    <t>CONCEICAO DO COITE-BA</t>
  </si>
  <si>
    <t>CONCEICAO DO JACUIPE-BA</t>
  </si>
  <si>
    <t>CONCEICAO DO LAGO-ACU-MA</t>
  </si>
  <si>
    <t>CONCEICAO DO MATO DENTRO-MG</t>
  </si>
  <si>
    <t>CONCEICAO DO PARA-MG</t>
  </si>
  <si>
    <t>CONCEICAO DO RIO VERDE-MG</t>
  </si>
  <si>
    <t>CONCEICAO DO TOCANTINS-TO</t>
  </si>
  <si>
    <t>CONCEICAO DOS OUROS-MG</t>
  </si>
  <si>
    <t>CONCHAL-SP</t>
  </si>
  <si>
    <t>CONCHAS-SP</t>
  </si>
  <si>
    <t>CONCORDIA-SC</t>
  </si>
  <si>
    <t>CONCORDIA DO PARA-PA</t>
  </si>
  <si>
    <t>CONDADO-PB</t>
  </si>
  <si>
    <t>CONDADO-PE</t>
  </si>
  <si>
    <t>CONDE-BA</t>
  </si>
  <si>
    <t>CONDE-PB</t>
  </si>
  <si>
    <t>CONDEUBA-BA</t>
  </si>
  <si>
    <t>CONDOR-RS</t>
  </si>
  <si>
    <t>CONEGO MARINHO-MG</t>
  </si>
  <si>
    <t>CONFINS-MG</t>
  </si>
  <si>
    <t>CONFRESA-MT</t>
  </si>
  <si>
    <t>CONGO-PB</t>
  </si>
  <si>
    <t>CONGONHAL-MG</t>
  </si>
  <si>
    <t>CONGONHAS-MG</t>
  </si>
  <si>
    <t>CONGONHAS DO NORTE-MG</t>
  </si>
  <si>
    <t>CONGONHINHAS-PR</t>
  </si>
  <si>
    <t>CONQUISTA-MG</t>
  </si>
  <si>
    <t>CONQUISTA D'OESTE-MT</t>
  </si>
  <si>
    <t>CONSELHEIRO LAFAIETE-MG</t>
  </si>
  <si>
    <t>CONSELHEIRO MAIRINCK-PR</t>
  </si>
  <si>
    <t>CONSELHEIRO PENA-MG</t>
  </si>
  <si>
    <t>CONSOLACAO-MG</t>
  </si>
  <si>
    <t>CONSTANTINA-RS</t>
  </si>
  <si>
    <t>CONTAGEM-MG</t>
  </si>
  <si>
    <t>CONTENDA-PR</t>
  </si>
  <si>
    <t>CONTENDAS DO SINCORA-BA</t>
  </si>
  <si>
    <t>COQUEIRAL-MG</t>
  </si>
  <si>
    <t>COQUEIRO BAIXO-RS</t>
  </si>
  <si>
    <t>COQUEIRO SECO-AL</t>
  </si>
  <si>
    <t>COQUEIROS DO SUL-RS</t>
  </si>
  <si>
    <t>CORACAO DE JESUS-MG</t>
  </si>
  <si>
    <t>CORACAO DE MARIA-BA</t>
  </si>
  <si>
    <t>CORBELIA-PR</t>
  </si>
  <si>
    <t>CORDEIRO-RJ</t>
  </si>
  <si>
    <t>CORDEIROPOLIS-SP</t>
  </si>
  <si>
    <t>CORDEIROS-BA</t>
  </si>
  <si>
    <t>CORDILHEIRA ALTA-SC</t>
  </si>
  <si>
    <t>CORDISBURGO-MG</t>
  </si>
  <si>
    <t>CORDISLANDIA-MG</t>
  </si>
  <si>
    <t>COREAU-CE</t>
  </si>
  <si>
    <t>COREMAS-PB</t>
  </si>
  <si>
    <t>CORGUINHO-MS</t>
  </si>
  <si>
    <t>CORIBE-BA</t>
  </si>
  <si>
    <t>CORINTO-MG</t>
  </si>
  <si>
    <t>CORNELIO PROCOPIO-PR</t>
  </si>
  <si>
    <t>COROACI-MG</t>
  </si>
  <si>
    <t>COROADOS-SP</t>
  </si>
  <si>
    <t>COROATA-MA</t>
  </si>
  <si>
    <t>COROMANDEL-MG</t>
  </si>
  <si>
    <t>CORONEL BARROS-RS</t>
  </si>
  <si>
    <t>CORONEL BICACO-RS</t>
  </si>
  <si>
    <t>CORONEL DOMINGOS SOARES-PR</t>
  </si>
  <si>
    <t>CORONEL EZEQUIEL-RN</t>
  </si>
  <si>
    <t>CORONEL FABRICIANO-MG</t>
  </si>
  <si>
    <t>CORONEL FREITAS-SC</t>
  </si>
  <si>
    <t>CORONEL JOAO PESSOA-RN</t>
  </si>
  <si>
    <t>CORONEL JOAO SA-BA</t>
  </si>
  <si>
    <t>CORONEL JOSE DIAS-PI</t>
  </si>
  <si>
    <t>CORONEL MACEDO-SP</t>
  </si>
  <si>
    <t>CORONEL MARTINS-SC</t>
  </si>
  <si>
    <t>CORONEL MURTA-MG</t>
  </si>
  <si>
    <t>CORONEL PACHECO-MG</t>
  </si>
  <si>
    <t>CORONEL PILAR-RS</t>
  </si>
  <si>
    <t>CORONEL SAPUCAIA-MS</t>
  </si>
  <si>
    <t>CORONEL VIVIDA-PR</t>
  </si>
  <si>
    <t>CORONEL XAVIER CHAVES-MG</t>
  </si>
  <si>
    <t>CORREGO DANTA-MG</t>
  </si>
  <si>
    <t>CORREGO DO BOM JESUS-MG</t>
  </si>
  <si>
    <t>CORREGO DO OURO-GO</t>
  </si>
  <si>
    <t>CORREGO FUNDO-MG</t>
  </si>
  <si>
    <t>CORREGO NOVO-MG</t>
  </si>
  <si>
    <t>CORREIA PINTO-SC</t>
  </si>
  <si>
    <t>CORRENTE-PI</t>
  </si>
  <si>
    <t>CORRENTES-PE</t>
  </si>
  <si>
    <t>CORRENTINA-BA</t>
  </si>
  <si>
    <t>CORTES-PE</t>
  </si>
  <si>
    <t>CORUMBA-MS</t>
  </si>
  <si>
    <t>CORUMBA DE GOIAS-GO</t>
  </si>
  <si>
    <t>CORUMBAIBA-GO</t>
  </si>
  <si>
    <t>CORUMBATAI-SP</t>
  </si>
  <si>
    <t>CORUMBATAI DO SUL-PR</t>
  </si>
  <si>
    <t>CORUMBIARA-RO</t>
  </si>
  <si>
    <t>CORUPA-SC</t>
  </si>
  <si>
    <t>CORURIPE-AL</t>
  </si>
  <si>
    <t>COSMOPOLIS-SP</t>
  </si>
  <si>
    <t>COSMORAMA-SP</t>
  </si>
  <si>
    <t>COSTA MARQUES-RO</t>
  </si>
  <si>
    <t>COSTA RICA-MS</t>
  </si>
  <si>
    <t>COTEGIPE-BA</t>
  </si>
  <si>
    <t>COTIA-SP</t>
  </si>
  <si>
    <t>COTIPORA-RS</t>
  </si>
  <si>
    <t>COTRIGUACU-MT</t>
  </si>
  <si>
    <t>COUTO DE MAGALHAES DE MINAS-MG</t>
  </si>
  <si>
    <t>COUTO MAGALHAES-TO</t>
  </si>
  <si>
    <t>COXILHA-RS</t>
  </si>
  <si>
    <t>COXIM-MS</t>
  </si>
  <si>
    <t>COXIXOLA-PB</t>
  </si>
  <si>
    <t>CRAIBAS-AL</t>
  </si>
  <si>
    <t>CRATEUS-CE</t>
  </si>
  <si>
    <t>CRATO-CE</t>
  </si>
  <si>
    <t>CRAVINHOS-SP</t>
  </si>
  <si>
    <t>CRAVOLANDIA-BA</t>
  </si>
  <si>
    <t>CRICIUMA-SC</t>
  </si>
  <si>
    <t>CRISOLITA-MG</t>
  </si>
  <si>
    <t>CRISOPOLIS-BA</t>
  </si>
  <si>
    <t>CRISSIUMAL-RS</t>
  </si>
  <si>
    <t>CRISTAIS-MG</t>
  </si>
  <si>
    <t>CRISTAIS PAULISTA-SP</t>
  </si>
  <si>
    <t>CRISTAL-RS</t>
  </si>
  <si>
    <t>CRISTAL DO SUL-RS</t>
  </si>
  <si>
    <t>CRISTALANDIA-TO</t>
  </si>
  <si>
    <t>CRISTALANDIA DO PIAUI-PI</t>
  </si>
  <si>
    <t>CRISTALIA-MG</t>
  </si>
  <si>
    <t>CRISTALINA-GO</t>
  </si>
  <si>
    <t>CRISTIANO OTONI-MG</t>
  </si>
  <si>
    <t>CRISTIANOPOLIS-GO</t>
  </si>
  <si>
    <t>CRISTINA-MG</t>
  </si>
  <si>
    <t>CRISTINAPOLIS-SE</t>
  </si>
  <si>
    <t>CRISTINO CASTRO-PI</t>
  </si>
  <si>
    <t>CRISTOPOLIS-BA</t>
  </si>
  <si>
    <t>CRIXAS-GO</t>
  </si>
  <si>
    <t>CRIXAS DO TOCANTINS-TO</t>
  </si>
  <si>
    <t>CROATA-CE</t>
  </si>
  <si>
    <t>CROMINIA-GO</t>
  </si>
  <si>
    <t>CRUCILANDIA-MG</t>
  </si>
  <si>
    <t>CRUZ-CE</t>
  </si>
  <si>
    <t>CRUZ ALTA-RS</t>
  </si>
  <si>
    <t>CRUZ DAS ALMAS-BA</t>
  </si>
  <si>
    <t>CRUZ DO ESPIRITO SANTO-PB</t>
  </si>
  <si>
    <t>CRUZ MACHADO-PR</t>
  </si>
  <si>
    <t>CRUZALIA-SP</t>
  </si>
  <si>
    <t>CRUZALTENSE-RS</t>
  </si>
  <si>
    <t>CRUZEIRO-SP</t>
  </si>
  <si>
    <t>CRUZEIRO DA FORTALEZA-MG</t>
  </si>
  <si>
    <t>CRUZEIRO DO IGUACU-PR</t>
  </si>
  <si>
    <t>CRUZEIRO DO OESTE-PR</t>
  </si>
  <si>
    <t>CRUZEIRO DO SUL-AC</t>
  </si>
  <si>
    <t>CRUZEIRO DO SUL-PR</t>
  </si>
  <si>
    <t>CRUZEIRO DO SUL-RS</t>
  </si>
  <si>
    <t>CRUZETA-RN</t>
  </si>
  <si>
    <t>CRUZILIA-MG</t>
  </si>
  <si>
    <t>CRUZMALTINA-PR</t>
  </si>
  <si>
    <t>CUBATAO-SP</t>
  </si>
  <si>
    <t>CUBATI-PB</t>
  </si>
  <si>
    <t>CUIABA-MT</t>
  </si>
  <si>
    <t>CUITE-PB</t>
  </si>
  <si>
    <t>CUITE DE MAMANGUAPE-PB</t>
  </si>
  <si>
    <t>CUITEGI-PB</t>
  </si>
  <si>
    <t>CUJUBIM-RO</t>
  </si>
  <si>
    <t>CUMARI-GO</t>
  </si>
  <si>
    <t>CUMARU-PE</t>
  </si>
  <si>
    <t>CUMARU DO NORTE-PA</t>
  </si>
  <si>
    <t>CUMBE-SE</t>
  </si>
  <si>
    <t>CUNHA-SP</t>
  </si>
  <si>
    <t>CUNHA PORA-SC</t>
  </si>
  <si>
    <t>CUNHATAI-SC</t>
  </si>
  <si>
    <t>CUPARAQUE-MG</t>
  </si>
  <si>
    <t>CUPIRA-PE</t>
  </si>
  <si>
    <t>CURACA-BA</t>
  </si>
  <si>
    <t>CURIMATA-PI</t>
  </si>
  <si>
    <t>CURIONOPOLIS-PA</t>
  </si>
  <si>
    <t>CURITIBA-PR</t>
  </si>
  <si>
    <t>CURITIBANOS-SC</t>
  </si>
  <si>
    <t>CURIUVA-PR</t>
  </si>
  <si>
    <t>CURRAIS-PI</t>
  </si>
  <si>
    <t>CURRAIS NOVOS-RN</t>
  </si>
  <si>
    <t>CURRAL DE CIMA-PB</t>
  </si>
  <si>
    <t>CURRAL DE DENTRO-MG</t>
  </si>
  <si>
    <t>CURRAL NOVO DO PIAUI-PI</t>
  </si>
  <si>
    <t>CURRAL VELHO-PB</t>
  </si>
  <si>
    <t>CURRALINHO-PA</t>
  </si>
  <si>
    <t>CURRALINHOS-PI</t>
  </si>
  <si>
    <t>CURUA-PA</t>
  </si>
  <si>
    <t>CURUCA-PA</t>
  </si>
  <si>
    <t>CURURUPU-MA</t>
  </si>
  <si>
    <t>CURVELANDIA-MT</t>
  </si>
  <si>
    <t>CURVELO-MG</t>
  </si>
  <si>
    <t>CUSTODIA-PE</t>
  </si>
  <si>
    <t>CUTIAS-AP</t>
  </si>
  <si>
    <t>DAMIANOPOLIS-GO</t>
  </si>
  <si>
    <t>DAMIAO-PB</t>
  </si>
  <si>
    <t>DAMOLANDIA-GO</t>
  </si>
  <si>
    <t>DARCINOPOLIS-TO</t>
  </si>
  <si>
    <t>DARIO MEIRA-BA</t>
  </si>
  <si>
    <t>DATAS-MG</t>
  </si>
  <si>
    <t>DAVID CANABARRO-RS</t>
  </si>
  <si>
    <t>DAVINOPOLIS-GO</t>
  </si>
  <si>
    <t>DAVINOPOLIS-MA</t>
  </si>
  <si>
    <t>DELFIM MOREIRA-MG</t>
  </si>
  <si>
    <t>DELFINOPOLIS-MG</t>
  </si>
  <si>
    <t>DELMIRO GOUVEIA-AL</t>
  </si>
  <si>
    <t>DELTA-MG</t>
  </si>
  <si>
    <t>DEMERVAL LOBAO-PI</t>
  </si>
  <si>
    <t>DENISE-MT</t>
  </si>
  <si>
    <t>DEODAPOLIS-MS</t>
  </si>
  <si>
    <t>DEPUTADO IRAPUAN PINHEIRO-CE</t>
  </si>
  <si>
    <t>DERRUBADAS-RS</t>
  </si>
  <si>
    <t>DESCALVADO-SP</t>
  </si>
  <si>
    <t>DESCANSO-SC</t>
  </si>
  <si>
    <t>DESCOBERTO-MG</t>
  </si>
  <si>
    <t>DESTERRO-PB</t>
  </si>
  <si>
    <t>DESTERRO DE ENTRE RIOS-MG</t>
  </si>
  <si>
    <t>DESTERRO DO MELO-MG</t>
  </si>
  <si>
    <t>DEZESSEIS DE NOVEMBRO-RS</t>
  </si>
  <si>
    <t>DIADEMA-SP</t>
  </si>
  <si>
    <t>DIAMANTE-PB</t>
  </si>
  <si>
    <t>DIAMANTE DO NORTE-PR</t>
  </si>
  <si>
    <t>DIAMANTE DO SUL-PR</t>
  </si>
  <si>
    <t>DIAMANTE D'OESTE-PR</t>
  </si>
  <si>
    <t>DIAMANTINA-MG</t>
  </si>
  <si>
    <t>DIAMANTINO-MT</t>
  </si>
  <si>
    <t>DIANOPOLIS-TO</t>
  </si>
  <si>
    <t>DIAS D'AVILA-BA</t>
  </si>
  <si>
    <t>DILERMANDO DE AGUIAR-RS</t>
  </si>
  <si>
    <t>DIOGO DE VASCONCELOS-MG</t>
  </si>
  <si>
    <t>DIONISIO-MG</t>
  </si>
  <si>
    <t>DIONISIO CERQUEIRA-SC</t>
  </si>
  <si>
    <t>DIORAMA-GO</t>
  </si>
  <si>
    <t>DIRCE REIS-SP</t>
  </si>
  <si>
    <t>DIRCEU ARCOVERDE-PI</t>
  </si>
  <si>
    <t>DIVINA PASTORA-SE</t>
  </si>
  <si>
    <t>DIVINESIA-MG</t>
  </si>
  <si>
    <t>DIVINO-MG</t>
  </si>
  <si>
    <t>DIVINO DAS LARANJEIRAS-MG</t>
  </si>
  <si>
    <t>DIVINO DE SAO LOURENCO-ES</t>
  </si>
  <si>
    <t>DIVINOLANDIA-SP</t>
  </si>
  <si>
    <t>DIVINOLANDIA DE MINAS-MG</t>
  </si>
  <si>
    <t>DIVINOPOLIS-MG</t>
  </si>
  <si>
    <t>DIVINOPOLIS DE GOIAS-GO</t>
  </si>
  <si>
    <t>DIVINOPOLIS DO TOCANTINS-TO</t>
  </si>
  <si>
    <t>DIVISA ALEGRE-MG</t>
  </si>
  <si>
    <t>DIVISA NOVA-MG</t>
  </si>
  <si>
    <t>DIVISOPOLIS-MG</t>
  </si>
  <si>
    <t>DOBRADA-SP</t>
  </si>
  <si>
    <t>DOIS CORREGOS-SP</t>
  </si>
  <si>
    <t>DOIS IRMAOS-RS</t>
  </si>
  <si>
    <t>DOIS IRMAOS DAS MISSOES-RS</t>
  </si>
  <si>
    <t>DOIS IRMAOS DO BURITI-MS</t>
  </si>
  <si>
    <t>DOIS IRMAOS DO TOCANTINS-TO</t>
  </si>
  <si>
    <t>DOIS LAJEADOS-RS</t>
  </si>
  <si>
    <t>DOIS RIACHOS-AL</t>
  </si>
  <si>
    <t>DOIS VIZINHOS-PR</t>
  </si>
  <si>
    <t>DOLCINOPOLIS-SP</t>
  </si>
  <si>
    <t>DOM AQUINO-MT</t>
  </si>
  <si>
    <t>DOM BASILIO-BA</t>
  </si>
  <si>
    <t>DOM BOSCO-MG</t>
  </si>
  <si>
    <t>DOM CAVATI-MG</t>
  </si>
  <si>
    <t>DOM ELISEU-PA</t>
  </si>
  <si>
    <t>DOM EXPEDITO LOPES-PI</t>
  </si>
  <si>
    <t>DOM FELICIANO-RS</t>
  </si>
  <si>
    <t>DOM INOCENCIO-PI</t>
  </si>
  <si>
    <t>DOM JOAQUIM-MG</t>
  </si>
  <si>
    <t>DOM MACEDO COSTA-BA</t>
  </si>
  <si>
    <t>DOM PEDRITO-RS</t>
  </si>
  <si>
    <t>DOM PEDRO-MA</t>
  </si>
  <si>
    <t>DOM PEDRO DE ALCANTARA-RS</t>
  </si>
  <si>
    <t>DOM SILVERIO-MG</t>
  </si>
  <si>
    <t>DOM VICOSO-MG</t>
  </si>
  <si>
    <t>DOMINGOS MARTINS-ES</t>
  </si>
  <si>
    <t>DOMINGOS MOURAO-PI</t>
  </si>
  <si>
    <t>DONA EMMA-SC</t>
  </si>
  <si>
    <t>DONA EUZEBIA-MG</t>
  </si>
  <si>
    <t>DONA FRANCISCA-RS</t>
  </si>
  <si>
    <t>DONA INES-PB</t>
  </si>
  <si>
    <t>DORES DE CAMPOS-MG</t>
  </si>
  <si>
    <t>DORES DE GUANHAES-MG</t>
  </si>
  <si>
    <t>DORES DO INDAIA-MG</t>
  </si>
  <si>
    <t>DORES DO RIO PRETO-ES</t>
  </si>
  <si>
    <t>DORES DO TURVO-MG</t>
  </si>
  <si>
    <t>DORESOPOLIS-MG</t>
  </si>
  <si>
    <t>DORMENTES-PE</t>
  </si>
  <si>
    <t>DOURADINA-MS</t>
  </si>
  <si>
    <t>DOURADINA-PR</t>
  </si>
  <si>
    <t>DOURADO-SP</t>
  </si>
  <si>
    <t>DOURADOQUARA-MG</t>
  </si>
  <si>
    <t>DOURADOS-MS</t>
  </si>
  <si>
    <t>DOUTOR CAMARGO-PR</t>
  </si>
  <si>
    <t>DOUTOR MAURICIO CARDOSO-RS</t>
  </si>
  <si>
    <t>DOUTOR PEDRINHO-SC</t>
  </si>
  <si>
    <t>DOUTOR RICARDO-RS</t>
  </si>
  <si>
    <t>DOUTOR SEVERIANO-RN</t>
  </si>
  <si>
    <t>DOUTOR ULYSSES-PR</t>
  </si>
  <si>
    <t>DOVERLANDIA-GO</t>
  </si>
  <si>
    <t>DRACENA-SP</t>
  </si>
  <si>
    <t>DUARTINA-SP</t>
  </si>
  <si>
    <t>DUAS BARRAS-RJ</t>
  </si>
  <si>
    <t>DUAS ESTRADAS-PB</t>
  </si>
  <si>
    <t>DUERE-TO</t>
  </si>
  <si>
    <t>DUMONT-SP</t>
  </si>
  <si>
    <t>DUQUE BACELAR-MA</t>
  </si>
  <si>
    <t>DUQUE DE CAXIAS-RJ</t>
  </si>
  <si>
    <t>DURANDE-MG</t>
  </si>
  <si>
    <t>ECHAPORA-SP</t>
  </si>
  <si>
    <t>ECOPORANGA-ES</t>
  </si>
  <si>
    <t>EDEALINA-GO</t>
  </si>
  <si>
    <t>EDEIA-GO</t>
  </si>
  <si>
    <t>EIRUNEPE-AM</t>
  </si>
  <si>
    <t>ELDORADO-MS</t>
  </si>
  <si>
    <t>ELDORADO-SP</t>
  </si>
  <si>
    <t>ELDORADO DO CARAJAS-PA</t>
  </si>
  <si>
    <t>ELDORADO DO SUL-RS</t>
  </si>
  <si>
    <t>ELESBAO VELOSO-PI</t>
  </si>
  <si>
    <t>ELIAS FAUSTO-SP</t>
  </si>
  <si>
    <t>ELISEU MARTINS-PI</t>
  </si>
  <si>
    <t>ELISIARIO-SP</t>
  </si>
  <si>
    <t>ELISIO MEDRADO-BA</t>
  </si>
  <si>
    <t>ELOI MENDES-MG</t>
  </si>
  <si>
    <t>EMAS-PB</t>
  </si>
  <si>
    <t>EMBAUBA-SP</t>
  </si>
  <si>
    <t>EMBU DAS ARTES-SP</t>
  </si>
  <si>
    <t>EMBU-GUACU-SP</t>
  </si>
  <si>
    <t>EMILIANOPOLIS-SP</t>
  </si>
  <si>
    <t>ENCANTADO-RS</t>
  </si>
  <si>
    <t>ENCANTO-RN</t>
  </si>
  <si>
    <t>ENCRUZILHADA-BA</t>
  </si>
  <si>
    <t>ENCRUZILHADA DO SUL-RS</t>
  </si>
  <si>
    <t>ENEAS MARQUES-PR</t>
  </si>
  <si>
    <t>ENGENHEIRO BELTRAO-PR</t>
  </si>
  <si>
    <t>ENGENHEIRO CALDAS-MG</t>
  </si>
  <si>
    <t>ENGENHEIRO COELHO-SP</t>
  </si>
  <si>
    <t>ENGENHEIRO NAVARRO-MG</t>
  </si>
  <si>
    <t>ENGENHEIRO PAULO DE FRONTIN-RJ</t>
  </si>
  <si>
    <t>ENGENHO VELHO-RS</t>
  </si>
  <si>
    <t>ENTRE FOLHAS-MG</t>
  </si>
  <si>
    <t>ENTRE RIOS-BA</t>
  </si>
  <si>
    <t>ENTRE RIOS-SC</t>
  </si>
  <si>
    <t>ENTRE RIOS DE MINAS-MG</t>
  </si>
  <si>
    <t>ENTRE RIOS DO OESTE-PR</t>
  </si>
  <si>
    <t>ENTRE RIOS DO SUL-RS</t>
  </si>
  <si>
    <t>ENTRE-IJUIS-RS</t>
  </si>
  <si>
    <t>ENVIRA-AM</t>
  </si>
  <si>
    <t>EPITACIOLANDIA-AC</t>
  </si>
  <si>
    <t>EQUADOR-RN</t>
  </si>
  <si>
    <t>EREBANGO-RS</t>
  </si>
  <si>
    <t>ERECHIM-RS</t>
  </si>
  <si>
    <t>ERERE-CE</t>
  </si>
  <si>
    <t>ERICO CARDOSO-BA</t>
  </si>
  <si>
    <t>ERMO-SC</t>
  </si>
  <si>
    <t>ERNESTINA-RS</t>
  </si>
  <si>
    <t>ERVAL GRANDE-RS</t>
  </si>
  <si>
    <t>ERVAL SECO-RS</t>
  </si>
  <si>
    <t>ERVAL VELHO-SC</t>
  </si>
  <si>
    <t>ERVALIA-MG</t>
  </si>
  <si>
    <t>ESCADA-PE</t>
  </si>
  <si>
    <t>ESMERALDA-RS</t>
  </si>
  <si>
    <t>ESMERALDAS-MG</t>
  </si>
  <si>
    <t>ESPERA FELIZ-MG</t>
  </si>
  <si>
    <t>ESPERANCA-PB</t>
  </si>
  <si>
    <t>ESPERANCA DO SUL-RS</t>
  </si>
  <si>
    <t>ESPERANCA NOVA-PR</t>
  </si>
  <si>
    <t>ESPERANTINA-PI</t>
  </si>
  <si>
    <t>ESPERANTINA-TO</t>
  </si>
  <si>
    <t>ESPERANTINOPOLIS-MA</t>
  </si>
  <si>
    <t>ESPIGAO ALTO DO IGUACU-PR</t>
  </si>
  <si>
    <t>ESPIGAO D'OESTE-RO</t>
  </si>
  <si>
    <t>ESPINOSA-MG</t>
  </si>
  <si>
    <t>ESPIRITO SANTO-RN</t>
  </si>
  <si>
    <t>ESPIRITO SANTO DO DOURADO-MG</t>
  </si>
  <si>
    <t>ESPIRITO SANTO DO PINHAL-SP</t>
  </si>
  <si>
    <t>ESPIRITO SANTO DO TURVO-SP</t>
  </si>
  <si>
    <t>ESPLANADA-BA</t>
  </si>
  <si>
    <t>ESPUMOSO-RS</t>
  </si>
  <si>
    <t>ESTACAO-RS</t>
  </si>
  <si>
    <t>ESTANCIA-SE</t>
  </si>
  <si>
    <t>ESTANCIA VELHA-RS</t>
  </si>
  <si>
    <t>ESTEIO-RS</t>
  </si>
  <si>
    <t>ESTIVA-MG</t>
  </si>
  <si>
    <t>ESTIVA GERBI-SP</t>
  </si>
  <si>
    <t>ESTREITO-MA</t>
  </si>
  <si>
    <t>ESTRELA-RS</t>
  </si>
  <si>
    <t>ESTRELA DALVA-MG</t>
  </si>
  <si>
    <t>ESTRELA DE ALAGOAS-AL</t>
  </si>
  <si>
    <t>ESTRELA DO INDAIA-MG</t>
  </si>
  <si>
    <t>ESTRELA DO NORTE-GO</t>
  </si>
  <si>
    <t>ESTRELA DO NORTE-SP</t>
  </si>
  <si>
    <t>ESTRELA DO SUL-MG</t>
  </si>
  <si>
    <t>ESTRELA D'OESTE-SP</t>
  </si>
  <si>
    <t>ESTRELA VELHA-RS</t>
  </si>
  <si>
    <t>EUCLIDES DA CUNHA-BA</t>
  </si>
  <si>
    <t>EUCLIDES DA CUNHA PAULISTA-SP</t>
  </si>
  <si>
    <t>EUGENIO DE CASTRO-RS</t>
  </si>
  <si>
    <t>EUGENOPOLIS-MG</t>
  </si>
  <si>
    <t>EUNAPOLIS-BA</t>
  </si>
  <si>
    <t>EUSEBIO-CE</t>
  </si>
  <si>
    <t>EWBANK DA CAMARA-MG</t>
  </si>
  <si>
    <t>EXTREMA-MG</t>
  </si>
  <si>
    <t>EXTREMOZ-RN</t>
  </si>
  <si>
    <t>EXU-PE</t>
  </si>
  <si>
    <t>FAGUNDES-PB</t>
  </si>
  <si>
    <t>FAGUNDES VARELA-RS</t>
  </si>
  <si>
    <t>FAINA-GO</t>
  </si>
  <si>
    <t>FAMA-MG</t>
  </si>
  <si>
    <t>FARIA LEMOS-MG</t>
  </si>
  <si>
    <t>FARIAS BRITO-CE</t>
  </si>
  <si>
    <t>FARO-PA</t>
  </si>
  <si>
    <t>FAROL-PR</t>
  </si>
  <si>
    <t>FARROUPILHA-RS</t>
  </si>
  <si>
    <t>FARTURA-SP</t>
  </si>
  <si>
    <t>FARTURA DO PIAUI-PI</t>
  </si>
  <si>
    <t>FATIMA-BA</t>
  </si>
  <si>
    <t>FATIMA-TO</t>
  </si>
  <si>
    <t>FATIMA DO SUL-MS</t>
  </si>
  <si>
    <t>FAXINAL-PR</t>
  </si>
  <si>
    <t>FAXINAL DO SOTURNO-RS</t>
  </si>
  <si>
    <t>FAXINAL DOS GUEDES-SC</t>
  </si>
  <si>
    <t>FAXINALZINHO-RS</t>
  </si>
  <si>
    <t>FAZENDA NOVA-GO</t>
  </si>
  <si>
    <t>FAZENDA RIO GRANDE-PR</t>
  </si>
  <si>
    <t>FAZENDA VILANOVA-RS</t>
  </si>
  <si>
    <t>FEIJO-AC</t>
  </si>
  <si>
    <t>FEIRA DA MATA-BA</t>
  </si>
  <si>
    <t>FEIRA DE SANTANA-BA</t>
  </si>
  <si>
    <t>FEIRA GRANDE-AL</t>
  </si>
  <si>
    <t>FEIRA NOVA-PE</t>
  </si>
  <si>
    <t>FEIRA NOVA-SE</t>
  </si>
  <si>
    <t>FEIRA NOVA DO MARANHAO-MA</t>
  </si>
  <si>
    <t>FELICIO DOS SANTOS-MG</t>
  </si>
  <si>
    <t>FELIPE GUERRA-RN</t>
  </si>
  <si>
    <t>FELISBURGO-MG</t>
  </si>
  <si>
    <t>FELIXLANDIA-MG</t>
  </si>
  <si>
    <t>FELIZ-RS</t>
  </si>
  <si>
    <t>FELIZ DESERTO-AL</t>
  </si>
  <si>
    <t>FELIZ NATAL-MT</t>
  </si>
  <si>
    <t>FENIX-PR</t>
  </si>
  <si>
    <t>FERNANDES PINHEIRO-PR</t>
  </si>
  <si>
    <t>FERNANDES TOURINHO-MG</t>
  </si>
  <si>
    <t>FERNANDO DE NORONHA-PE</t>
  </si>
  <si>
    <t>FERNANDO FALCAO-MA</t>
  </si>
  <si>
    <t>FERNANDO PEDROZA-RN</t>
  </si>
  <si>
    <t>FERNANDO PRESTES-SP</t>
  </si>
  <si>
    <t>FERNANDOPOLIS-SP</t>
  </si>
  <si>
    <t>FERNAO-SP</t>
  </si>
  <si>
    <t>FERRAZ DE VASCONCELOS-SP</t>
  </si>
  <si>
    <t>FERREIRA GOMES-AP</t>
  </si>
  <si>
    <t>FERREIROS-PE</t>
  </si>
  <si>
    <t>FERROS-MG</t>
  </si>
  <si>
    <t>FERVEDOURO-MG</t>
  </si>
  <si>
    <t>FIGUEIRA-PR</t>
  </si>
  <si>
    <t>FIGUEIRAO-MS</t>
  </si>
  <si>
    <t>FIGUEIROPOLIS-TO</t>
  </si>
  <si>
    <t>FIGUEIROPOLIS D'OESTE-MT</t>
  </si>
  <si>
    <t>FILADELFIA-BA</t>
  </si>
  <si>
    <t>FILADELFIA-TO</t>
  </si>
  <si>
    <t>FIRMINO ALVES-BA</t>
  </si>
  <si>
    <t>FIRMINOPOLIS-GO</t>
  </si>
  <si>
    <t>FLEXEIRAS-AL</t>
  </si>
  <si>
    <t>FLOR DA SERRA DO SUL-PR</t>
  </si>
  <si>
    <t>FLOR DO SERTAO-SC</t>
  </si>
  <si>
    <t>FLORA RICA-SP</t>
  </si>
  <si>
    <t>FLORAI-PR</t>
  </si>
  <si>
    <t>FLORANIA-RN</t>
  </si>
  <si>
    <t>FLOREAL-SP</t>
  </si>
  <si>
    <t>FLORES-PE</t>
  </si>
  <si>
    <t>FLORES DA CUNHA-RS</t>
  </si>
  <si>
    <t>FLORES DE GOIAS-GO</t>
  </si>
  <si>
    <t>FLORES DO PIAUI-PI</t>
  </si>
  <si>
    <t>FLORESTA-PE</t>
  </si>
  <si>
    <t>FLORESTA-PR</t>
  </si>
  <si>
    <t>FLORESTA AZUL-BA</t>
  </si>
  <si>
    <t>FLORESTA DO ARAGUAIA-PA</t>
  </si>
  <si>
    <t>FLORESTA DO PIAUI-PI</t>
  </si>
  <si>
    <t>FLORESTAL-MG</t>
  </si>
  <si>
    <t>FLORESTOPOLIS-PR</t>
  </si>
  <si>
    <t>FLORIANO-PI</t>
  </si>
  <si>
    <t>FLORIANO PEIXOTO-RS</t>
  </si>
  <si>
    <t>FLORIANOPOLIS-SC</t>
  </si>
  <si>
    <t>FLORIDA-PR</t>
  </si>
  <si>
    <t>FLORIDA PAULISTA-SP</t>
  </si>
  <si>
    <t>FLORINEA-SP</t>
  </si>
  <si>
    <t>FONTE BOA-AM</t>
  </si>
  <si>
    <t>FONTOURA XAVIER-RS</t>
  </si>
  <si>
    <t>FORMIGA-MG</t>
  </si>
  <si>
    <t>FORMIGUEIRO-RS</t>
  </si>
  <si>
    <t>FORMOSA-GO</t>
  </si>
  <si>
    <t>FORMOSA DA SERRA NEGRA-MA</t>
  </si>
  <si>
    <t>FORMOSA DO OESTE-PR</t>
  </si>
  <si>
    <t>FORMOSA DO RIO PRETO-BA</t>
  </si>
  <si>
    <t>FORMOSA DO SUL-SC</t>
  </si>
  <si>
    <t>FORMOSO-GO</t>
  </si>
  <si>
    <t>FORMOSO-MG</t>
  </si>
  <si>
    <t>FORMOSO DO ARAGUAIA-TO</t>
  </si>
  <si>
    <t>FORQUETINHA-RS</t>
  </si>
  <si>
    <t>FORQUILHA-CE</t>
  </si>
  <si>
    <t>FORQUILHINHA-SC</t>
  </si>
  <si>
    <t>FORTALEZA-CE</t>
  </si>
  <si>
    <t>FORTALEZA DE MINAS-MG</t>
  </si>
  <si>
    <t>FORTALEZA DOS NOGUEIRAS-MA</t>
  </si>
  <si>
    <t>FORTALEZA DOS VALOS-RS</t>
  </si>
  <si>
    <t>FORTIM-CE</t>
  </si>
  <si>
    <t>FORTUNA-MA</t>
  </si>
  <si>
    <t>FORTUNA DE MINAS-MG</t>
  </si>
  <si>
    <t>FOZ DO IGUACU-PR</t>
  </si>
  <si>
    <t>FOZ DO JORDAO-PR</t>
  </si>
  <si>
    <t>FRAIBURGO-SC</t>
  </si>
  <si>
    <t>FRANCA-SP</t>
  </si>
  <si>
    <t>FRANCINOPOLIS-PI</t>
  </si>
  <si>
    <t>FRANCISCO ALVES-PR</t>
  </si>
  <si>
    <t>FRANCISCO AYRES-PI</t>
  </si>
  <si>
    <t>FRANCISCO BADARO-MG</t>
  </si>
  <si>
    <t>FRANCISCO BELTRAO-PR</t>
  </si>
  <si>
    <t>FRANCISCO DANTAS-RN</t>
  </si>
  <si>
    <t>FRANCISCO DUMONT-MG</t>
  </si>
  <si>
    <t>FRANCISCO MACEDO-PI</t>
  </si>
  <si>
    <t>FRANCISCO MORATO-SP</t>
  </si>
  <si>
    <t>FRANCISCO SA-MG</t>
  </si>
  <si>
    <t>FRANCISCO SANTOS-PI</t>
  </si>
  <si>
    <t>FRANCISCOPOLIS-MG</t>
  </si>
  <si>
    <t>FRANCO DA ROCHA-SP</t>
  </si>
  <si>
    <t>FRECHEIRINHA-CE</t>
  </si>
  <si>
    <t>FREDERICO WESTPHALEN-RS</t>
  </si>
  <si>
    <t>FREI GASPAR-MG</t>
  </si>
  <si>
    <t>FREI INOCENCIO-MG</t>
  </si>
  <si>
    <t>FREI LAGONEGRO-MG</t>
  </si>
  <si>
    <t>FREI MARTINHO-PB</t>
  </si>
  <si>
    <t>FREI MIGUELINHO-PE</t>
  </si>
  <si>
    <t>FREI PAULO-SE</t>
  </si>
  <si>
    <t>FREI ROGERIO-SC</t>
  </si>
  <si>
    <t>FRONTEIRA-MG</t>
  </si>
  <si>
    <t>FRONTEIRA DOS VALES-MG</t>
  </si>
  <si>
    <t>FRONTEIRAS-PI</t>
  </si>
  <si>
    <t>FRUTA DE LEITE-MG</t>
  </si>
  <si>
    <t>FRUTAL-MG</t>
  </si>
  <si>
    <t>FRUTUOSO GOMES-RN</t>
  </si>
  <si>
    <t>FUNDAO-ES</t>
  </si>
  <si>
    <t>FUNILANDIA-MG</t>
  </si>
  <si>
    <t>GABRIEL MONTEIRO-SP</t>
  </si>
  <si>
    <t>GADO BRAVO-PB</t>
  </si>
  <si>
    <t>GALIA-SP</t>
  </si>
  <si>
    <t>GALILEIA-MG</t>
  </si>
  <si>
    <t>GALINHOS-RN</t>
  </si>
  <si>
    <t>GALVAO-SC</t>
  </si>
  <si>
    <t>GAMELEIRA-PE</t>
  </si>
  <si>
    <t>GAMELEIRA DE GOIAS-GO</t>
  </si>
  <si>
    <t>GAMELEIRAS-MG</t>
  </si>
  <si>
    <t>GANDU-BA</t>
  </si>
  <si>
    <t>GARANHUNS-PE</t>
  </si>
  <si>
    <t>GARARU-SE</t>
  </si>
  <si>
    <t>GARCA-SP</t>
  </si>
  <si>
    <t>GARIBALDI-RS</t>
  </si>
  <si>
    <t>GAROPABA-SC</t>
  </si>
  <si>
    <t>GARRAFAO DO NORTE-PA</t>
  </si>
  <si>
    <t>GARRUCHOS-RS</t>
  </si>
  <si>
    <t>GARUVA-SC</t>
  </si>
  <si>
    <t>GASPAR-SC</t>
  </si>
  <si>
    <t>GASTAO VIDIGAL-SP</t>
  </si>
  <si>
    <t>GAUCHA DO NORTE-MT</t>
  </si>
  <si>
    <t>GAURAMA-RS</t>
  </si>
  <si>
    <t>GAVIAO-BA</t>
  </si>
  <si>
    <t>GAVIAO PEIXOTO-SP</t>
  </si>
  <si>
    <t>GEMINIANO-PI</t>
  </si>
  <si>
    <t>GENERAL CAMARA-RS</t>
  </si>
  <si>
    <t>GENERAL CARNEIRO-MT</t>
  </si>
  <si>
    <t>GENERAL CARNEIRO-PR</t>
  </si>
  <si>
    <t>GENERAL MAYNARD-SE</t>
  </si>
  <si>
    <t>GENERAL SALGADO-SP</t>
  </si>
  <si>
    <t>GENERAL SAMPAIO-CE</t>
  </si>
  <si>
    <t>GENTIL-RS</t>
  </si>
  <si>
    <t>GENTIO DO OURO-BA</t>
  </si>
  <si>
    <t>GETULINA-SP</t>
  </si>
  <si>
    <t>GETULIO VARGAS-RS</t>
  </si>
  <si>
    <t>GILBUES-PI</t>
  </si>
  <si>
    <t>GIRAU DO PONCIANO-AL</t>
  </si>
  <si>
    <t>GIRUA-RS</t>
  </si>
  <si>
    <t>GLAUCILANDIA-MG</t>
  </si>
  <si>
    <t>GLICERIO-SP</t>
  </si>
  <si>
    <t>GLORIA-BA</t>
  </si>
  <si>
    <t>GLORIA DE DOURADOS-MS</t>
  </si>
  <si>
    <t>GLORIA DO GOITA-PE</t>
  </si>
  <si>
    <t>GLORIA D'OESTE-MT</t>
  </si>
  <si>
    <t>GLORINHA-RS</t>
  </si>
  <si>
    <t>GODOFREDO VIANA-MA</t>
  </si>
  <si>
    <t>GODOY MOREIRA-PR</t>
  </si>
  <si>
    <t>GOIABEIRA-MG</t>
  </si>
  <si>
    <t>GOIANA-PE</t>
  </si>
  <si>
    <t>GOIANA-MG</t>
  </si>
  <si>
    <t>GOIANAPOLIS-GO</t>
  </si>
  <si>
    <t>GOIANDIRA-GO</t>
  </si>
  <si>
    <t>GOIANESIA-GO</t>
  </si>
  <si>
    <t>GOIANESIA DO PARA-PA</t>
  </si>
  <si>
    <t>GOIANIA-GO</t>
  </si>
  <si>
    <t>GOIANINHA-RN</t>
  </si>
  <si>
    <t>GOIANIRA-GO</t>
  </si>
  <si>
    <t>GOIANORTE-TO</t>
  </si>
  <si>
    <t>GOIAS-GO</t>
  </si>
  <si>
    <t>GOIATINS-TO</t>
  </si>
  <si>
    <t>GOIATUBA-GO</t>
  </si>
  <si>
    <t>GOIOERE-PR</t>
  </si>
  <si>
    <t>GOIOXIM-PR</t>
  </si>
  <si>
    <t>GONCALVES-MG</t>
  </si>
  <si>
    <t>GONCALVES DIAS-MA</t>
  </si>
  <si>
    <t>GONGOGI-BA</t>
  </si>
  <si>
    <t>GONZAGA-MG</t>
  </si>
  <si>
    <t>GOUVEIA-MG</t>
  </si>
  <si>
    <t>GOUVELANDIA-GO</t>
  </si>
  <si>
    <t>GOVERNADOR ARCHER-MA</t>
  </si>
  <si>
    <t>GOVERNADOR CELSO RAMOS-SC</t>
  </si>
  <si>
    <t>GOVERNADOR DIX-SEPT ROSADO-RN</t>
  </si>
  <si>
    <t>GOVERNADOR EDISON LOBAO-MA</t>
  </si>
  <si>
    <t>GOVERNADOR EUGENIO BARROS-MA</t>
  </si>
  <si>
    <t>GOVERNADOR JORGE TEIXEIRA-RO</t>
  </si>
  <si>
    <t>GOVERNADOR LINDENBERG-ES</t>
  </si>
  <si>
    <t>GOVERNADOR LUIZ ROCHA-MA</t>
  </si>
  <si>
    <t>GOVERNADOR MANGABEIRA-BA</t>
  </si>
  <si>
    <t>GOVERNADOR NEWTON BELLO-MA</t>
  </si>
  <si>
    <t>GOVERNADOR NUNES FREIRE-MA</t>
  </si>
  <si>
    <t>GOVERNADOR VALADARES-MG</t>
  </si>
  <si>
    <t>GRACA-CE</t>
  </si>
  <si>
    <t>GRACA ARANHA-MA</t>
  </si>
  <si>
    <t>GRACCHO CARDOSO-SE</t>
  </si>
  <si>
    <t>GRAJAU-MA</t>
  </si>
  <si>
    <t>GRAMADO-RS</t>
  </si>
  <si>
    <t>GRAMADO DOS LOUREIROS-RS</t>
  </si>
  <si>
    <t>GRAMADO XAVIER-RS</t>
  </si>
  <si>
    <t>GRANDES RIOS-PR</t>
  </si>
  <si>
    <t>GRANITO-PE</t>
  </si>
  <si>
    <t>GRANJA-CE</t>
  </si>
  <si>
    <t>GRANJEIRO-CE</t>
  </si>
  <si>
    <t>GRAO MOGOL-MG</t>
  </si>
  <si>
    <t>GRAO-PARA-SC</t>
  </si>
  <si>
    <t>GRAVATA-PE</t>
  </si>
  <si>
    <t>GRAVATAI-RS</t>
  </si>
  <si>
    <t>GRAVATAL-SC</t>
  </si>
  <si>
    <t>GROAIRAS-CE</t>
  </si>
  <si>
    <t>GROSSOS-RN</t>
  </si>
  <si>
    <t>GRUPIARA-MG</t>
  </si>
  <si>
    <t>GUABIJU-RS</t>
  </si>
  <si>
    <t>GUABIRUBA-SC</t>
  </si>
  <si>
    <t>GUACUI-ES</t>
  </si>
  <si>
    <t>GUADALUPE-PI</t>
  </si>
  <si>
    <t>GUAIBA-RS</t>
  </si>
  <si>
    <t>GUAICARA-SP</t>
  </si>
  <si>
    <t>GUAIMBE-SP</t>
  </si>
  <si>
    <t>GUAIRA-PR</t>
  </si>
  <si>
    <t>GUAIRA-SP</t>
  </si>
  <si>
    <t>GUAIRACA-PR</t>
  </si>
  <si>
    <t>GUAIUBA-CE</t>
  </si>
  <si>
    <t>GUAJARA-AM</t>
  </si>
  <si>
    <t>GUAJARA-MIRIM-RO</t>
  </si>
  <si>
    <t>GUAJERU-BA</t>
  </si>
  <si>
    <t>GUAMARE-RN</t>
  </si>
  <si>
    <t>GUAMIRANGA-PR</t>
  </si>
  <si>
    <t>GUANAMBI-BA</t>
  </si>
  <si>
    <t>GUANHAES-MG</t>
  </si>
  <si>
    <t>GUAPE-MG</t>
  </si>
  <si>
    <t>GUAPIACU-SP</t>
  </si>
  <si>
    <t>GUAPIARA-SP</t>
  </si>
  <si>
    <t>GUAPIMIRIM-RJ</t>
  </si>
  <si>
    <t>GUAPIRAMA-PR</t>
  </si>
  <si>
    <t>GUAPO-GO</t>
  </si>
  <si>
    <t>GUAPORE-RS</t>
  </si>
  <si>
    <t>GUAPOREMA-PR</t>
  </si>
  <si>
    <t>GUARA-SP</t>
  </si>
  <si>
    <t>GUARABIRA-PB</t>
  </si>
  <si>
    <t>GUARACAI-SP</t>
  </si>
  <si>
    <t>GUARACI-PR</t>
  </si>
  <si>
    <t>GUARACI-SP</t>
  </si>
  <si>
    <t>GUARACIABA-MG</t>
  </si>
  <si>
    <t>GUARACIABA-SC</t>
  </si>
  <si>
    <t>GUARACIABA DO NORTE-CE</t>
  </si>
  <si>
    <t>GUARACIAMA-MG</t>
  </si>
  <si>
    <t>GUARAI-TO</t>
  </si>
  <si>
    <t>GUARAITA-GO</t>
  </si>
  <si>
    <t>GUARAMIRANGA-CE</t>
  </si>
  <si>
    <t>GUARAMIRIM-SC</t>
  </si>
  <si>
    <t>GUARANESIA-MG</t>
  </si>
  <si>
    <t>GUARANI-MG</t>
  </si>
  <si>
    <t>GUARANI DAS MISSOES-RS</t>
  </si>
  <si>
    <t>GUARANI DE GOIAS-GO</t>
  </si>
  <si>
    <t>GUARANI D'OESTE-SP</t>
  </si>
  <si>
    <t>GUARANIACU-PR</t>
  </si>
  <si>
    <t>GUARANTA-SP</t>
  </si>
  <si>
    <t>GUARANTA DO NORTE-MT</t>
  </si>
  <si>
    <t>GUARAPARI-ES</t>
  </si>
  <si>
    <t>GUARAPUAVA-PR</t>
  </si>
  <si>
    <t>GUARAQUECABA-PR</t>
  </si>
  <si>
    <t>GUARARA-MG</t>
  </si>
  <si>
    <t>GUARARAPES-SP</t>
  </si>
  <si>
    <t>GUARAREMA-SP</t>
  </si>
  <si>
    <t>GUARATINGA-BA</t>
  </si>
  <si>
    <t>GUARATINGUETA-SP</t>
  </si>
  <si>
    <t>GUARATUBA-PR</t>
  </si>
  <si>
    <t>GUARDA-MOR-MG</t>
  </si>
  <si>
    <t>GUAREI-SP</t>
  </si>
  <si>
    <t>GUARIBA-SP</t>
  </si>
  <si>
    <t>GUARIBAS-PI</t>
  </si>
  <si>
    <t>GUARINOS-GO</t>
  </si>
  <si>
    <t>GUARUJA-SP</t>
  </si>
  <si>
    <t>GUARUJA DO SUL-SC</t>
  </si>
  <si>
    <t>GUARULHOS-SP</t>
  </si>
  <si>
    <t>GUATAMBU-SC</t>
  </si>
  <si>
    <t>GUATAPARA-SP</t>
  </si>
  <si>
    <t>GUAXUPE-MG</t>
  </si>
  <si>
    <t>GUIA LOPES DA LAGUNA-MS</t>
  </si>
  <si>
    <t>GUIDOVAL-MG</t>
  </si>
  <si>
    <t>GUIMARAES-MA</t>
  </si>
  <si>
    <t>GUIMARANIA-MG</t>
  </si>
  <si>
    <t>GUIRATINGA-MT</t>
  </si>
  <si>
    <t>GUIRICEMA-MG</t>
  </si>
  <si>
    <t>GURINHATA-MG</t>
  </si>
  <si>
    <t>GURINHEM-PB</t>
  </si>
  <si>
    <t>GURJAO-PB</t>
  </si>
  <si>
    <t>GURUPA-PA</t>
  </si>
  <si>
    <t>GURUPI-TO</t>
  </si>
  <si>
    <t>GUZOLANDIA-SP</t>
  </si>
  <si>
    <t>HARMONIA-RS</t>
  </si>
  <si>
    <t>HEITORAI-GO</t>
  </si>
  <si>
    <t>HELIODORA-MG</t>
  </si>
  <si>
    <t>HELIOPOLIS-BA</t>
  </si>
  <si>
    <t>HERCULANDIA-SP</t>
  </si>
  <si>
    <t>HERVAL-RS</t>
  </si>
  <si>
    <t>HERVAL D'OESTE-SC</t>
  </si>
  <si>
    <t>HERVEIRAS-RS</t>
  </si>
  <si>
    <t>HIDROLANDIA-CE</t>
  </si>
  <si>
    <t>HIDROLANDIA-GO</t>
  </si>
  <si>
    <t>HIDROLINA-GO</t>
  </si>
  <si>
    <t>HOLAMBRA-SP</t>
  </si>
  <si>
    <t>HONORIO SERPA-PR</t>
  </si>
  <si>
    <t>HORIZONTE-CE</t>
  </si>
  <si>
    <t>HORIZONTINA-RS</t>
  </si>
  <si>
    <t>HORTOLANDIA-SP</t>
  </si>
  <si>
    <t>HUGO NAPOLEAO-PI</t>
  </si>
  <si>
    <t>HULHA NEGRA-RS</t>
  </si>
  <si>
    <t>HUMAITA-AM</t>
  </si>
  <si>
    <t>HUMAITA-RS</t>
  </si>
  <si>
    <t>HUMBERTO DE CAMPOS-MA</t>
  </si>
  <si>
    <t>IACANGA-SP</t>
  </si>
  <si>
    <t>IACIARA-GO</t>
  </si>
  <si>
    <t>IACRI-SP</t>
  </si>
  <si>
    <t>IACU-BA</t>
  </si>
  <si>
    <t>IAPU-MG</t>
  </si>
  <si>
    <t>IARAS-SP</t>
  </si>
  <si>
    <t>IATI-PE</t>
  </si>
  <si>
    <t>IBAITI-PR</t>
  </si>
  <si>
    <t>IBARAMA-RS</t>
  </si>
  <si>
    <t>IBARETAMA-CE</t>
  </si>
  <si>
    <t>IBATE-SP</t>
  </si>
  <si>
    <t>IBATEGUARA-AL</t>
  </si>
  <si>
    <t>IBATIBA-ES</t>
  </si>
  <si>
    <t>IBEMA-PR</t>
  </si>
  <si>
    <t>IBERTIOGA-MG</t>
  </si>
  <si>
    <t>IBIA-MG</t>
  </si>
  <si>
    <t>IBIACA-RS</t>
  </si>
  <si>
    <t>IBIAI-MG</t>
  </si>
  <si>
    <t>IBIAM-SC</t>
  </si>
  <si>
    <t>IBIAPINA-CE</t>
  </si>
  <si>
    <t>IBIARA-PB</t>
  </si>
  <si>
    <t>IBIASSUCE-BA</t>
  </si>
  <si>
    <t>IBICARAI-BA</t>
  </si>
  <si>
    <t>IBICARE-SC</t>
  </si>
  <si>
    <t>IBICOARA-BA</t>
  </si>
  <si>
    <t>IBICUI-BA</t>
  </si>
  <si>
    <t>IBICUITINGA-CE</t>
  </si>
  <si>
    <t>IBIMIRIM-PE</t>
  </si>
  <si>
    <t>IBIPEBA-BA</t>
  </si>
  <si>
    <t>IBIPITANGA-BA</t>
  </si>
  <si>
    <t>IBIPORA-PR</t>
  </si>
  <si>
    <t>IBIQUERA-BA</t>
  </si>
  <si>
    <t>IBIRA-SP</t>
  </si>
  <si>
    <t>IBIRACATU-MG</t>
  </si>
  <si>
    <t>IBIRACI-MG</t>
  </si>
  <si>
    <t>IBIRACU-ES</t>
  </si>
  <si>
    <t>IBIRAIARAS-RS</t>
  </si>
  <si>
    <t>IBIRAJUBA-PE</t>
  </si>
  <si>
    <t>IBIRAMA-SC</t>
  </si>
  <si>
    <t>IBIRAPITANGA-BA</t>
  </si>
  <si>
    <t>IBIRAPUA-BA</t>
  </si>
  <si>
    <t>IBIRAPUITA-RS</t>
  </si>
  <si>
    <t>IBIRAREMA-SP</t>
  </si>
  <si>
    <t>IBIRATAIA-BA</t>
  </si>
  <si>
    <t>IBIRITE-MG</t>
  </si>
  <si>
    <t>IBIRUBA-RS</t>
  </si>
  <si>
    <t>IBITIARA-BA</t>
  </si>
  <si>
    <t>IBITINGA-SP</t>
  </si>
  <si>
    <t>IBITIRAMA-ES</t>
  </si>
  <si>
    <t>IBITITA-BA</t>
  </si>
  <si>
    <t>IBITIURA DE MINAS-MG</t>
  </si>
  <si>
    <t>IBITURUNA-MG</t>
  </si>
  <si>
    <t>IBIUNA-SP</t>
  </si>
  <si>
    <t>IBOTIRAMA-BA</t>
  </si>
  <si>
    <t>ICAPUI-CE</t>
  </si>
  <si>
    <t>ICARA-SC</t>
  </si>
  <si>
    <t>ICARAI DE MINAS-MG</t>
  </si>
  <si>
    <t>ICARAIMA-PR</t>
  </si>
  <si>
    <t>ICATU-MA</t>
  </si>
  <si>
    <t>ICEM-SP</t>
  </si>
  <si>
    <t>ICHU-BA</t>
  </si>
  <si>
    <t>ICO-CE</t>
  </si>
  <si>
    <t>ICONHA-ES</t>
  </si>
  <si>
    <t>IELMO MARINHO-RN</t>
  </si>
  <si>
    <t>IEPE-SP</t>
  </si>
  <si>
    <t>IGACI-AL</t>
  </si>
  <si>
    <t>IGAPORA-BA</t>
  </si>
  <si>
    <t>IGARACU DO TIETE-SP</t>
  </si>
  <si>
    <t>IGARACY-PB</t>
  </si>
  <si>
    <t>IGARAPAVA-SP</t>
  </si>
  <si>
    <t>IGARAPE-MG</t>
  </si>
  <si>
    <t>IGARAPE DO MEIO-MA</t>
  </si>
  <si>
    <t>IGARAPE GRANDE-MA</t>
  </si>
  <si>
    <t>IGARAPE-ACU-PA</t>
  </si>
  <si>
    <t>IGARAPE-MIRI-PA</t>
  </si>
  <si>
    <t>IGARASSU-PE</t>
  </si>
  <si>
    <t>IGARATA-SP</t>
  </si>
  <si>
    <t>IGARATINGA-MG</t>
  </si>
  <si>
    <t>IGRAPIUNA-BA</t>
  </si>
  <si>
    <t>IGREJA NOVA-AL</t>
  </si>
  <si>
    <t>IGREJINHA-RS</t>
  </si>
  <si>
    <t>IGUABA GRANDE-RJ</t>
  </si>
  <si>
    <t>IGUAI-BA</t>
  </si>
  <si>
    <t>IGUAPE-SP</t>
  </si>
  <si>
    <t>IGUARACU-PR</t>
  </si>
  <si>
    <t>IGUARACY-PE</t>
  </si>
  <si>
    <t>IGUATAMA-MG</t>
  </si>
  <si>
    <t>IGUATEMI-MS</t>
  </si>
  <si>
    <t>IGUATU-CE</t>
  </si>
  <si>
    <t>IGUATU-PR</t>
  </si>
  <si>
    <t>IJACI-MG</t>
  </si>
  <si>
    <t>IJUI-RS</t>
  </si>
  <si>
    <t>ILHA COMPRIDA-SP</t>
  </si>
  <si>
    <t>ILHA DAS FLORES-SE</t>
  </si>
  <si>
    <t>ILHA DE ITAMARACA-PE</t>
  </si>
  <si>
    <t>ILHA GRANDE-PI</t>
  </si>
  <si>
    <t>ILHA SOLTEIRA-SP</t>
  </si>
  <si>
    <t>ILHABELA-SP</t>
  </si>
  <si>
    <t>ILHEUS-BA</t>
  </si>
  <si>
    <t>ILHOTA-SC</t>
  </si>
  <si>
    <t>ILICINEA-MG</t>
  </si>
  <si>
    <t>ILOPOLIS-RS</t>
  </si>
  <si>
    <t>IMACULADA-PB</t>
  </si>
  <si>
    <t>IMARUI-SC</t>
  </si>
  <si>
    <t>IMBAU-PR</t>
  </si>
  <si>
    <t>IMBE-RS</t>
  </si>
  <si>
    <t>IMBE DE MINAS-MG</t>
  </si>
  <si>
    <t>IMBITUBA-SC</t>
  </si>
  <si>
    <t>IMBITUVA-PR</t>
  </si>
  <si>
    <t>IMBUIA-SC</t>
  </si>
  <si>
    <t>IMIGRANTE-RS</t>
  </si>
  <si>
    <t>IMPERATRIZ-MA</t>
  </si>
  <si>
    <t>INACIO MARTINS-PR</t>
  </si>
  <si>
    <t>INACIOLANDIA-GO</t>
  </si>
  <si>
    <t>INAJA-PE</t>
  </si>
  <si>
    <t>INAJA-PR</t>
  </si>
  <si>
    <t>INCONFIDENTES-MG</t>
  </si>
  <si>
    <t>INDAIABIRA-MG</t>
  </si>
  <si>
    <t>INDAIAL-SC</t>
  </si>
  <si>
    <t>INDAIATUBA-SP</t>
  </si>
  <si>
    <t>INDEPENDENCIA-CE</t>
  </si>
  <si>
    <t>INDEPENDENCIA-RS</t>
  </si>
  <si>
    <t>INDIANA-SP</t>
  </si>
  <si>
    <t>INDIANOPOLIS-MG</t>
  </si>
  <si>
    <t>INDIANOPOLIS-PR</t>
  </si>
  <si>
    <t>INDIAPORA-SP</t>
  </si>
  <si>
    <t>INDIARA-GO</t>
  </si>
  <si>
    <t>INDIAROBA-SE</t>
  </si>
  <si>
    <t>INDIAVAI-MT</t>
  </si>
  <si>
    <t>INGA-PB</t>
  </si>
  <si>
    <t>INGAI-MG</t>
  </si>
  <si>
    <t>INGAZEIRA-PE</t>
  </si>
  <si>
    <t>INHACORA-RS</t>
  </si>
  <si>
    <t>INHAMBUPE-BA</t>
  </si>
  <si>
    <t>INHANGAPI-PA</t>
  </si>
  <si>
    <t>INHAPI-AL</t>
  </si>
  <si>
    <t>INHAPIM-MG</t>
  </si>
  <si>
    <t>INHAUMA-MG</t>
  </si>
  <si>
    <t>INHUMA-PI</t>
  </si>
  <si>
    <t>INHUMAS-GO</t>
  </si>
  <si>
    <t>INIMUTABA-MG</t>
  </si>
  <si>
    <t>INOCENCIA-MS</t>
  </si>
  <si>
    <t>INUBIA PAULISTA-SP</t>
  </si>
  <si>
    <t>IOMERE-SC</t>
  </si>
  <si>
    <t>IPABA-MG</t>
  </si>
  <si>
    <t>IPAMERI-GO</t>
  </si>
  <si>
    <t>IPANEMA-MG</t>
  </si>
  <si>
    <t>IPANGUACU-RN</t>
  </si>
  <si>
    <t>IPAPORANGA-CE</t>
  </si>
  <si>
    <t>IPATINGA-MG</t>
  </si>
  <si>
    <t>IPAUMIRIM-CE</t>
  </si>
  <si>
    <t>IPAUSSU-SP</t>
  </si>
  <si>
    <t>IPE-RS</t>
  </si>
  <si>
    <t>IPECAETA-BA</t>
  </si>
  <si>
    <t>IPERO-SP</t>
  </si>
  <si>
    <t>IPEUNA-SP</t>
  </si>
  <si>
    <t>IPIACU-MG</t>
  </si>
  <si>
    <t>IPIAU-BA</t>
  </si>
  <si>
    <t>IPIGUA-SP</t>
  </si>
  <si>
    <t>IPIRA-SC</t>
  </si>
  <si>
    <t>IPIRA-BA</t>
  </si>
  <si>
    <t>IPIRANGA-PR</t>
  </si>
  <si>
    <t>IPIRANGA DE GOIAS-GO</t>
  </si>
  <si>
    <t>IPIRANGA DO NORTE-MT</t>
  </si>
  <si>
    <t>IPIRANGA DO PIAUI-PI</t>
  </si>
  <si>
    <t>IPIRANGA DO SUL-RS</t>
  </si>
  <si>
    <t>IPIXUNA-AM</t>
  </si>
  <si>
    <t>IPIXUNA DO PARA-PA</t>
  </si>
  <si>
    <t>IPOJUCA-PE</t>
  </si>
  <si>
    <t>IPORA-GO</t>
  </si>
  <si>
    <t>IPORA-PR</t>
  </si>
  <si>
    <t>IPORA DO OESTE-SC</t>
  </si>
  <si>
    <t>IPORANGA-SP</t>
  </si>
  <si>
    <t>IPU-CE</t>
  </si>
  <si>
    <t>IPUA-SP</t>
  </si>
  <si>
    <t>IPUACU-SC</t>
  </si>
  <si>
    <t>IPUBI-PE</t>
  </si>
  <si>
    <t>IPUEIRA-RN</t>
  </si>
  <si>
    <t>IPUEIRAS-CE</t>
  </si>
  <si>
    <t>IPUEIRAS-TO</t>
  </si>
  <si>
    <t>IPUIUNA-MG</t>
  </si>
  <si>
    <t>IPUMIRIM-SC</t>
  </si>
  <si>
    <t>IPUPIARA-BA</t>
  </si>
  <si>
    <t>IRACEMA-CE</t>
  </si>
  <si>
    <t>IRACEMA-RR</t>
  </si>
  <si>
    <t>IRACEMA DO OESTE-PR</t>
  </si>
  <si>
    <t>IRACEMAPOLIS-SP</t>
  </si>
  <si>
    <t>IRACEMINHA-SC</t>
  </si>
  <si>
    <t>IRAI-RS</t>
  </si>
  <si>
    <t>IRAI DE MINAS-MG</t>
  </si>
  <si>
    <t>IRAJUBA-BA</t>
  </si>
  <si>
    <t>IRAMAIA-BA</t>
  </si>
  <si>
    <t>IRANDUBA-AM</t>
  </si>
  <si>
    <t>IRANI-SC</t>
  </si>
  <si>
    <t>IRAPUA-SP</t>
  </si>
  <si>
    <t>IRAPURU-SP</t>
  </si>
  <si>
    <t>IRAQUARA-BA</t>
  </si>
  <si>
    <t>IRARA-BA</t>
  </si>
  <si>
    <t>IRATI-PR</t>
  </si>
  <si>
    <t>IRATI-SC</t>
  </si>
  <si>
    <t>IRAUCUBA-CE</t>
  </si>
  <si>
    <t>IRECE-BA</t>
  </si>
  <si>
    <t>IRETAMA-PR</t>
  </si>
  <si>
    <t>IRINEOPOLIS-SC</t>
  </si>
  <si>
    <t>IRITUIA-PA</t>
  </si>
  <si>
    <t>IRUPI-ES</t>
  </si>
  <si>
    <t>ISAIAS COELHO-PI</t>
  </si>
  <si>
    <t>ISRAELANDIA-GO</t>
  </si>
  <si>
    <t>ITA-SC</t>
  </si>
  <si>
    <t>ITAARA-RS</t>
  </si>
  <si>
    <t>ITABAIANA-PB</t>
  </si>
  <si>
    <t>ITABAIANA-SE</t>
  </si>
  <si>
    <t>ITABAIANINHA-SE</t>
  </si>
  <si>
    <t>ITABELA-BA</t>
  </si>
  <si>
    <t>ITABERA-SP</t>
  </si>
  <si>
    <t>ITABERABA-BA</t>
  </si>
  <si>
    <t>ITABERAI-GO</t>
  </si>
  <si>
    <t>ITABI-SE</t>
  </si>
  <si>
    <t>ITABIRA-MG</t>
  </si>
  <si>
    <t>ITABIRINHA-MG</t>
  </si>
  <si>
    <t>ITABIRITO-MG</t>
  </si>
  <si>
    <t>ITABORAI-RJ</t>
  </si>
  <si>
    <t>ITABUNA-BA</t>
  </si>
  <si>
    <t>ITACAJA-TO</t>
  </si>
  <si>
    <t>ITACAMBIRA-MG</t>
  </si>
  <si>
    <t>ITACARAMBI-MG</t>
  </si>
  <si>
    <t>ITACARE-BA</t>
  </si>
  <si>
    <t>ITACOATIARA-AM</t>
  </si>
  <si>
    <t>ITACURUBA-PE</t>
  </si>
  <si>
    <t>ITACURUBI-RS</t>
  </si>
  <si>
    <t>ITAETE-BA</t>
  </si>
  <si>
    <t>ITAGI-BA</t>
  </si>
  <si>
    <t>ITAGIBA-BA</t>
  </si>
  <si>
    <t>ITAGIMIRIM-BA</t>
  </si>
  <si>
    <t>ITAGUACU-ES</t>
  </si>
  <si>
    <t>ITAGUACU DA BAHIA-BA</t>
  </si>
  <si>
    <t>ITAGUAI-RJ</t>
  </si>
  <si>
    <t>ITAGUAJE-PR</t>
  </si>
  <si>
    <t>ITAGUARA-MG</t>
  </si>
  <si>
    <t>ITAGUARI-GO</t>
  </si>
  <si>
    <t>ITAGUARU-GO</t>
  </si>
  <si>
    <t>ITAGUATINS-TO</t>
  </si>
  <si>
    <t>ITAI-SP</t>
  </si>
  <si>
    <t>ITAIBA-PE</t>
  </si>
  <si>
    <t>ITAICABA-CE</t>
  </si>
  <si>
    <t>ITAINOPOLIS-PI</t>
  </si>
  <si>
    <t>ITAIOPOLIS-SC</t>
  </si>
  <si>
    <t>ITAIPAVA DO GRAJAU-MA</t>
  </si>
  <si>
    <t>ITAIPE-MG</t>
  </si>
  <si>
    <t>ITAIPULANDIA-PR</t>
  </si>
  <si>
    <t>ITAITINGA-CE</t>
  </si>
  <si>
    <t>ITAITUBA-PA</t>
  </si>
  <si>
    <t>ITAJA-GO</t>
  </si>
  <si>
    <t>ITAJA-RN</t>
  </si>
  <si>
    <t>ITAJAI-SC</t>
  </si>
  <si>
    <t>ITAJOBI-SP</t>
  </si>
  <si>
    <t>ITAJU-SP</t>
  </si>
  <si>
    <t>ITAJU DO COLONIA-BA</t>
  </si>
  <si>
    <t>ITAJUBA-MG</t>
  </si>
  <si>
    <t>ITAJUIPE-BA</t>
  </si>
  <si>
    <t>ITALVA-RJ</t>
  </si>
  <si>
    <t>ITAMARAJU-BA</t>
  </si>
  <si>
    <t>ITAMARANDIBA-MG</t>
  </si>
  <si>
    <t>ITAMARATI-AM</t>
  </si>
  <si>
    <t>ITAMARATI DE MINAS-MG</t>
  </si>
  <si>
    <t>ITAMARI-BA</t>
  </si>
  <si>
    <t>ITAMBACURI-MG</t>
  </si>
  <si>
    <t>ITAMBARACA-PR</t>
  </si>
  <si>
    <t>ITAMBE-BA</t>
  </si>
  <si>
    <t>ITAMBE-PE</t>
  </si>
  <si>
    <t>ITAMBE-PR</t>
  </si>
  <si>
    <t>ITAMBE DO MATO DENTRO-MG</t>
  </si>
  <si>
    <t>ITAMOGI-MG</t>
  </si>
  <si>
    <t>ITAMONTE-MG</t>
  </si>
  <si>
    <t>ITANAGRA-BA</t>
  </si>
  <si>
    <t>ITANHAEM-SP</t>
  </si>
  <si>
    <t>ITANHANDU-MG</t>
  </si>
  <si>
    <t>ITANHANGA-MT</t>
  </si>
  <si>
    <t>ITANHEM-BA</t>
  </si>
  <si>
    <t>ITANHOMI-MG</t>
  </si>
  <si>
    <t>ITAOBIM-MG</t>
  </si>
  <si>
    <t>ITAOCA-SP</t>
  </si>
  <si>
    <t>ITAOCARA-RJ</t>
  </si>
  <si>
    <t>ITAPACI-GO</t>
  </si>
  <si>
    <t>ITAPAGIPE-MG</t>
  </si>
  <si>
    <t>ITAPAJE-CE</t>
  </si>
  <si>
    <t>ITAPARICA-BA</t>
  </si>
  <si>
    <t>ITAPE-BA</t>
  </si>
  <si>
    <t>ITAPEBI-BA</t>
  </si>
  <si>
    <t>ITAPECERICA-MG</t>
  </si>
  <si>
    <t>ITAPECERICA DA SERRA-SP</t>
  </si>
  <si>
    <t>ITAPECURU MIRIM-MA</t>
  </si>
  <si>
    <t>ITAPEJARA D'OESTE-PR</t>
  </si>
  <si>
    <t>ITAPEMA-SC</t>
  </si>
  <si>
    <t>ITAPEMIRIM-ES</t>
  </si>
  <si>
    <t>ITAPERUCU-PR</t>
  </si>
  <si>
    <t>ITAPERUNA-RJ</t>
  </si>
  <si>
    <t>ITAPETIM-PE</t>
  </si>
  <si>
    <t>ITAPETINGA-BA</t>
  </si>
  <si>
    <t>ITAPETININGA-SP</t>
  </si>
  <si>
    <t>ITAPEVA-MG</t>
  </si>
  <si>
    <t>ITAPEVA-SP</t>
  </si>
  <si>
    <t>ITAPEVI-SP</t>
  </si>
  <si>
    <t>ITAPICURU-BA</t>
  </si>
  <si>
    <t>ITAPIPOCA-CE</t>
  </si>
  <si>
    <t>ITAPIRA-SP</t>
  </si>
  <si>
    <t>ITAPIRANGA-AM</t>
  </si>
  <si>
    <t>ITAPIRANGA-SC</t>
  </si>
  <si>
    <t>ITAPIRAPUA-GO</t>
  </si>
  <si>
    <t>ITAPIRAPUA PAULISTA-SP</t>
  </si>
  <si>
    <t>ITAPIRATINS-TO</t>
  </si>
  <si>
    <t>ITAPISSUMA-PE</t>
  </si>
  <si>
    <t>ITAPITANGA-BA</t>
  </si>
  <si>
    <t>ITAPIUNA-CE</t>
  </si>
  <si>
    <t>ITAPOA-SC</t>
  </si>
  <si>
    <t>ITAPOLIS-SP</t>
  </si>
  <si>
    <t>ITAPORA-MS</t>
  </si>
  <si>
    <t>ITAPORA DO TOCANTINS-TO</t>
  </si>
  <si>
    <t>ITAPORANGA-PB</t>
  </si>
  <si>
    <t>ITAPORANGA-SP</t>
  </si>
  <si>
    <t>ITAPORANGA D'AJUDA-SE</t>
  </si>
  <si>
    <t>ITAPOROROCA-PB</t>
  </si>
  <si>
    <t>ITAPUA DO OESTE-RO</t>
  </si>
  <si>
    <t>ITAPUCA-RS</t>
  </si>
  <si>
    <t>ITAPUI-SP</t>
  </si>
  <si>
    <t>ITAPURA-SP</t>
  </si>
  <si>
    <t>ITAPURANGA-GO</t>
  </si>
  <si>
    <t>ITAQUAQUECETUBA-SP</t>
  </si>
  <si>
    <t>ITAQUARA-BA</t>
  </si>
  <si>
    <t>ITAQUI-RS</t>
  </si>
  <si>
    <t>ITAQUIRAI-MS</t>
  </si>
  <si>
    <t>ITAQUITINGA-PE</t>
  </si>
  <si>
    <t>ITARANA-ES</t>
  </si>
  <si>
    <t>ITARANTIM-BA</t>
  </si>
  <si>
    <t>ITARARE-SP</t>
  </si>
  <si>
    <t>ITAREMA-CE</t>
  </si>
  <si>
    <t>ITARIRI-SP</t>
  </si>
  <si>
    <t>ITARUMA-GO</t>
  </si>
  <si>
    <t>ITATI-RS</t>
  </si>
  <si>
    <t>ITATIAIA-RJ</t>
  </si>
  <si>
    <t>ITATIAIUCU-MG</t>
  </si>
  <si>
    <t>ITATIBA-SP</t>
  </si>
  <si>
    <t>ITATIBA DO SUL-RS</t>
  </si>
  <si>
    <t>ITATIM-BA</t>
  </si>
  <si>
    <t>ITATINGA-SP</t>
  </si>
  <si>
    <t>ITATIRA-CE</t>
  </si>
  <si>
    <t>ITATUBA-PB</t>
  </si>
  <si>
    <t>ITAU-RN</t>
  </si>
  <si>
    <t>ITAU DE MINAS-MG</t>
  </si>
  <si>
    <t>ITAUBA-MT</t>
  </si>
  <si>
    <t>ITAUBAL-AP</t>
  </si>
  <si>
    <t>ITAUCU-GO</t>
  </si>
  <si>
    <t>ITAUEIRA-PI</t>
  </si>
  <si>
    <t>ITAUNA-MG</t>
  </si>
  <si>
    <t>ITAUNA DO SUL-PR</t>
  </si>
  <si>
    <t>ITAVERAVA-MG</t>
  </si>
  <si>
    <t>ITINGA-MG</t>
  </si>
  <si>
    <t>ITINGA DO MARANHAO-MA</t>
  </si>
  <si>
    <t>ITIQUIRA-MT</t>
  </si>
  <si>
    <t>ITIRAPINA-SP</t>
  </si>
  <si>
    <t>ITIRAPUA-SP</t>
  </si>
  <si>
    <t>ITIRUCU-BA</t>
  </si>
  <si>
    <t>ITIUBA-BA</t>
  </si>
  <si>
    <t>ITOBI-SP</t>
  </si>
  <si>
    <t>ITORORO-BA</t>
  </si>
  <si>
    <t>ITU-SP</t>
  </si>
  <si>
    <t>ITUACU-BA</t>
  </si>
  <si>
    <t>ITUBERA-BA</t>
  </si>
  <si>
    <t>ITUETA-MG</t>
  </si>
  <si>
    <t>ITUIUTABA-MG</t>
  </si>
  <si>
    <t>ITUMBIARA-GO</t>
  </si>
  <si>
    <t>ITUMIRIM-MG</t>
  </si>
  <si>
    <t>ITUPEVA-SP</t>
  </si>
  <si>
    <t>ITUPIRANGA-PA</t>
  </si>
  <si>
    <t>ITUPORANGA-SC</t>
  </si>
  <si>
    <t>ITURAMA-MG</t>
  </si>
  <si>
    <t>ITUTINGA-MG</t>
  </si>
  <si>
    <t>ITUVERAVA-SP</t>
  </si>
  <si>
    <t>IUIU-BA</t>
  </si>
  <si>
    <t>IUNA-ES</t>
  </si>
  <si>
    <t>IVAI-PR</t>
  </si>
  <si>
    <t>IVAIPORA-PR</t>
  </si>
  <si>
    <t>IVATE-PR</t>
  </si>
  <si>
    <t>IVATUBA-PR</t>
  </si>
  <si>
    <t>IVINHEMA-MS</t>
  </si>
  <si>
    <t>IVOLANDIA-GO</t>
  </si>
  <si>
    <t>IVORA-RS</t>
  </si>
  <si>
    <t>IVOTI-RS</t>
  </si>
  <si>
    <t>JABOATAO DOS GUARARAPES-PE</t>
  </si>
  <si>
    <t>JABORA-SC</t>
  </si>
  <si>
    <t>JABORANDI-BA</t>
  </si>
  <si>
    <t>JABORANDI-SP</t>
  </si>
  <si>
    <t>JABOTI-PR</t>
  </si>
  <si>
    <t>JABOTICABA-RS</t>
  </si>
  <si>
    <t>JABOTICABAL-SP</t>
  </si>
  <si>
    <t>JABOTICATUBAS-MG</t>
  </si>
  <si>
    <t>JACANA-RN</t>
  </si>
  <si>
    <t>JACARACI-BA</t>
  </si>
  <si>
    <t>JACARAU-PB</t>
  </si>
  <si>
    <t>JACARE DOS HOMENS-AL</t>
  </si>
  <si>
    <t>JACAREACANGA-PA</t>
  </si>
  <si>
    <t>JACAREI-SP</t>
  </si>
  <si>
    <t>JACAREZINHO-PR</t>
  </si>
  <si>
    <t>JACI-SP</t>
  </si>
  <si>
    <t>JACIARA-MT</t>
  </si>
  <si>
    <t>JACINTO-MG</t>
  </si>
  <si>
    <t>JACINTO MACHADO-SC</t>
  </si>
  <si>
    <t>JACOBINA-BA</t>
  </si>
  <si>
    <t>JACOBINA DO PIAUI-PI</t>
  </si>
  <si>
    <t>JACUI-MG</t>
  </si>
  <si>
    <t>JACUIPE-AL</t>
  </si>
  <si>
    <t>JACUIZINHO-RS</t>
  </si>
  <si>
    <t>JACUNDA-PA</t>
  </si>
  <si>
    <t>JACUPIRANGA-SP</t>
  </si>
  <si>
    <t>JACUTINGA-MG</t>
  </si>
  <si>
    <t>JACUTINGA-RS</t>
  </si>
  <si>
    <t>JAGUAPITA-PR</t>
  </si>
  <si>
    <t>JAGUAQUARA-BA</t>
  </si>
  <si>
    <t>JAGUARACU-MG</t>
  </si>
  <si>
    <t>JAGUARAO-RS</t>
  </si>
  <si>
    <t>JAGUARARI-BA</t>
  </si>
  <si>
    <t>JAGUARE-ES</t>
  </si>
  <si>
    <t>JAGUARETAMA-CE</t>
  </si>
  <si>
    <t>JAGUARI-RS</t>
  </si>
  <si>
    <t>JAGUARIAIVA-PR</t>
  </si>
  <si>
    <t>JAGUARIBARA-CE</t>
  </si>
  <si>
    <t>JAGUARIBE-CE</t>
  </si>
  <si>
    <t>JAGUARIPE-BA</t>
  </si>
  <si>
    <t>JAGUARIUNA-SP</t>
  </si>
  <si>
    <t>JAGUARUANA-CE</t>
  </si>
  <si>
    <t>JAGUARUNA-SC</t>
  </si>
  <si>
    <t>JAIBA-MG</t>
  </si>
  <si>
    <t>JAICOS-PI</t>
  </si>
  <si>
    <t>JALES-SP</t>
  </si>
  <si>
    <t>JAMBEIRO-SP</t>
  </si>
  <si>
    <t>JAMPRUCA-MG</t>
  </si>
  <si>
    <t>JANAUBA-MG</t>
  </si>
  <si>
    <t>JANDAIA-GO</t>
  </si>
  <si>
    <t>JANDAIA DO SUL-PR</t>
  </si>
  <si>
    <t>JANDAIRA-BA</t>
  </si>
  <si>
    <t>JANDAIRA-RN</t>
  </si>
  <si>
    <t>JANDIRA-SP</t>
  </si>
  <si>
    <t>JANDUIS-RN</t>
  </si>
  <si>
    <t>JANGADA-MT</t>
  </si>
  <si>
    <t>JANIOPOLIS-PR</t>
  </si>
  <si>
    <t>JANUARIA-MG</t>
  </si>
  <si>
    <t>JANUARIO CICCO-RN</t>
  </si>
  <si>
    <t>JAPARAIBA-MG</t>
  </si>
  <si>
    <t>JAPARATINGA-AL</t>
  </si>
  <si>
    <t>JAPARATUBA-SE</t>
  </si>
  <si>
    <t>JAPERI-RJ</t>
  </si>
  <si>
    <t>JAPI-RN</t>
  </si>
  <si>
    <t>JAPIRA-PR</t>
  </si>
  <si>
    <t>JAPOATA-SE</t>
  </si>
  <si>
    <t>JAPONVAR-MG</t>
  </si>
  <si>
    <t>JAPORA-MS</t>
  </si>
  <si>
    <t>JAPURA-AM</t>
  </si>
  <si>
    <t>JAPURA-PR</t>
  </si>
  <si>
    <t>JAQUEIRA-PE</t>
  </si>
  <si>
    <t>JAQUIRANA-RS</t>
  </si>
  <si>
    <t>JARAGUA-GO</t>
  </si>
  <si>
    <t>JARAGUA DO SUL-SC</t>
  </si>
  <si>
    <t>JARAGUARI-MS</t>
  </si>
  <si>
    <t>JARAMATAIA-AL</t>
  </si>
  <si>
    <t>JARDIM-CE</t>
  </si>
  <si>
    <t>JARDIM-MS</t>
  </si>
  <si>
    <t>JARDIM ALEGRE-PR</t>
  </si>
  <si>
    <t>JARDIM DE ANGICOS-RN</t>
  </si>
  <si>
    <t>JARDIM DE PIRANHAS-RN</t>
  </si>
  <si>
    <t>JARDIM DO MULATO-PI</t>
  </si>
  <si>
    <t>JARDIM DO SERIDO-RN</t>
  </si>
  <si>
    <t>JARDIM OLINDA-PR</t>
  </si>
  <si>
    <t>JARDINOPOLIS-SC</t>
  </si>
  <si>
    <t>JARDINOPOLIS-SP</t>
  </si>
  <si>
    <t>JARI-RS</t>
  </si>
  <si>
    <t>JARINU-SP</t>
  </si>
  <si>
    <t>JARU-RO</t>
  </si>
  <si>
    <t>JATAI-GO</t>
  </si>
  <si>
    <t>JATAIZINHO-PR</t>
  </si>
  <si>
    <t>JATAUBA-PE</t>
  </si>
  <si>
    <t>JATEI-MS</t>
  </si>
  <si>
    <t>JATI-CE</t>
  </si>
  <si>
    <t>JATOBA-MA</t>
  </si>
  <si>
    <t>JATOBA-PE</t>
  </si>
  <si>
    <t>JATOBA DO PIAUI-PI</t>
  </si>
  <si>
    <t>JAU-SP</t>
  </si>
  <si>
    <t>JAU DO TOCANTINS-TO</t>
  </si>
  <si>
    <t>JAUPACI-GO</t>
  </si>
  <si>
    <t>JAURU-MT</t>
  </si>
  <si>
    <t>JECEABA-MG</t>
  </si>
  <si>
    <t>JENIPAPO DE MINAS-MG</t>
  </si>
  <si>
    <t>JENIPAPO DOS VIEIRAS-MA</t>
  </si>
  <si>
    <t>JEQUERI-MG</t>
  </si>
  <si>
    <t>JEQUIA DA PRAIA-AL</t>
  </si>
  <si>
    <t>JEQUIE-BA</t>
  </si>
  <si>
    <t>JEQUITAI-MG</t>
  </si>
  <si>
    <t>JEQUITIBA-MG</t>
  </si>
  <si>
    <t>JEQUITINHONHA-MG</t>
  </si>
  <si>
    <t>JEREMOABO-BA</t>
  </si>
  <si>
    <t>JERICO-PB</t>
  </si>
  <si>
    <t>JERIQUARA-SP</t>
  </si>
  <si>
    <t>JERONIMO MONTEIRO-ES</t>
  </si>
  <si>
    <t>JERUMENHA-PI</t>
  </si>
  <si>
    <t>JESUANIA-MG</t>
  </si>
  <si>
    <t>JESUITAS-PR</t>
  </si>
  <si>
    <t>JESUPOLIS-GO</t>
  </si>
  <si>
    <t>JIJOCA DE JERICOACOARA-CE</t>
  </si>
  <si>
    <t>JI-PARANA-RO</t>
  </si>
  <si>
    <t>JIQUIRICA-BA</t>
  </si>
  <si>
    <t>JITAUNA-BA</t>
  </si>
  <si>
    <t>JOACABA-SC</t>
  </si>
  <si>
    <t>JOAIMA-MG</t>
  </si>
  <si>
    <t>JOANESIA-MG</t>
  </si>
  <si>
    <t>JOANOPOLIS-SP</t>
  </si>
  <si>
    <t>JOAO ALFREDO-PE</t>
  </si>
  <si>
    <t>JOAO CAMARA-RN</t>
  </si>
  <si>
    <t>JOAO COSTA-PI</t>
  </si>
  <si>
    <t>JOAO DIAS-RN</t>
  </si>
  <si>
    <t>JOAO DOURADO-BA</t>
  </si>
  <si>
    <t>JOAO LISBOA-MA</t>
  </si>
  <si>
    <t>JOAO MONLEVADE-MG</t>
  </si>
  <si>
    <t>JOAO NEIVA-ES</t>
  </si>
  <si>
    <t>JOAO PESSOA-PB</t>
  </si>
  <si>
    <t>JOAO PINHEIRO-MG</t>
  </si>
  <si>
    <t>JOAO RAMALHO-SP</t>
  </si>
  <si>
    <t>JOAQUIM FELICIO-MG</t>
  </si>
  <si>
    <t>JOAQUIM GOMES-AL</t>
  </si>
  <si>
    <t>JOAQUIM NABUCO-PE</t>
  </si>
  <si>
    <t>JOAQUIM PIRES-PI</t>
  </si>
  <si>
    <t>JOAQUIM TAVORA-PR</t>
  </si>
  <si>
    <t>JOCA CLAUDINO-PB</t>
  </si>
  <si>
    <t>JOCA MARQUES-PI</t>
  </si>
  <si>
    <t>JOIA-RS</t>
  </si>
  <si>
    <t>JOINVILLE-SC</t>
  </si>
  <si>
    <t>JORDANIA-MG</t>
  </si>
  <si>
    <t>JORDAO-AC</t>
  </si>
  <si>
    <t>JOSE BOITEUX-SC</t>
  </si>
  <si>
    <t>JOSE BONIFACIO-SP</t>
  </si>
  <si>
    <t>JOSE DA PENHA-RN</t>
  </si>
  <si>
    <t>JOSE DE FREITAS-PI</t>
  </si>
  <si>
    <t>JOSE GONCALVES DE MINAS-MG</t>
  </si>
  <si>
    <t>JOSE RAYDAN-MG</t>
  </si>
  <si>
    <t>JOSELANDIA-MA</t>
  </si>
  <si>
    <t>JOSENOPOLIS-MG</t>
  </si>
  <si>
    <t>JOVIANIA-GO</t>
  </si>
  <si>
    <t>JUARA-MT</t>
  </si>
  <si>
    <t>JUAREZ TAVORA-PB</t>
  </si>
  <si>
    <t>JUARINA-TO</t>
  </si>
  <si>
    <t>JUATUBA-MG</t>
  </si>
  <si>
    <t>JUAZEIRINHO-PB</t>
  </si>
  <si>
    <t>JUAZEIRO-BA</t>
  </si>
  <si>
    <t>JUAZEIRO DO NORTE-CE</t>
  </si>
  <si>
    <t>JUAZEIRO DO PIAUI-PI</t>
  </si>
  <si>
    <t>JUCAS-CE</t>
  </si>
  <si>
    <t>JUCATI-PE</t>
  </si>
  <si>
    <t>JUCURUCU-BA</t>
  </si>
  <si>
    <t>JUCURUTU-RN</t>
  </si>
  <si>
    <t>JUINA-MT</t>
  </si>
  <si>
    <t>JUIZ DE FORA-MG</t>
  </si>
  <si>
    <t>JULIO BORGES-PI</t>
  </si>
  <si>
    <t>JULIO DE CASTILHOS-RS</t>
  </si>
  <si>
    <t>JULIO MESQUITA-SP</t>
  </si>
  <si>
    <t>JUMIRIM-SP</t>
  </si>
  <si>
    <t>JUNCO DO MARANHAO-MA</t>
  </si>
  <si>
    <t>JUNCO DO SERIDO-PB</t>
  </si>
  <si>
    <t>JUNDIA-AL</t>
  </si>
  <si>
    <t>JUNDIA-RN</t>
  </si>
  <si>
    <t>JUNDIAI-SP</t>
  </si>
  <si>
    <t>JUNDIAI DO SUL-PR</t>
  </si>
  <si>
    <t>JUNQUEIRO-AL</t>
  </si>
  <si>
    <t>JUNQUEIROPOLIS-SP</t>
  </si>
  <si>
    <t>JUPI-PE</t>
  </si>
  <si>
    <t>JUPIA-SC</t>
  </si>
  <si>
    <t>JUQUIA-SP</t>
  </si>
  <si>
    <t>JUQUITIBA-SP</t>
  </si>
  <si>
    <t>JURAMENTO-MG</t>
  </si>
  <si>
    <t>JURANDA-PR</t>
  </si>
  <si>
    <t>JUREMA-PE</t>
  </si>
  <si>
    <t>JUREMA-PI</t>
  </si>
  <si>
    <t>JURIPIRANGA-PB</t>
  </si>
  <si>
    <t>JURU-PB</t>
  </si>
  <si>
    <t>JURUA-AM</t>
  </si>
  <si>
    <t>JURUAIA-MG</t>
  </si>
  <si>
    <t>JURUENA-MT</t>
  </si>
  <si>
    <t>JURUTI-PA</t>
  </si>
  <si>
    <t>JUSCIMEIRA-MT</t>
  </si>
  <si>
    <t>JUSSARA-BA</t>
  </si>
  <si>
    <t>JUSSARA-GO</t>
  </si>
  <si>
    <t>JUSSARA-PR</t>
  </si>
  <si>
    <t>JUSSARI-BA</t>
  </si>
  <si>
    <t>JUSSIAPE-BA</t>
  </si>
  <si>
    <t>JUTAI-AM</t>
  </si>
  <si>
    <t>JUTI-MS</t>
  </si>
  <si>
    <t>JUVENILIA-MG</t>
  </si>
  <si>
    <t>KALORE-PR</t>
  </si>
  <si>
    <t>LABREA-AM</t>
  </si>
  <si>
    <t>LACERDOPOLIS-SC</t>
  </si>
  <si>
    <t>LADAINHA-MG</t>
  </si>
  <si>
    <t>LADARIO-MS</t>
  </si>
  <si>
    <t>LAFAIETE COUTINHO-BA</t>
  </si>
  <si>
    <t>LAGAMAR-MG</t>
  </si>
  <si>
    <t>LAGARTO-SE</t>
  </si>
  <si>
    <t>LAGES-SC</t>
  </si>
  <si>
    <t>LAGO DA PEDRA-MA</t>
  </si>
  <si>
    <t>LAGO DO JUNCO-MA</t>
  </si>
  <si>
    <t>LAGO DOS RODRIGUES-MA</t>
  </si>
  <si>
    <t>LAGO VERDE-MA</t>
  </si>
  <si>
    <t>LAGOA-PB</t>
  </si>
  <si>
    <t>LAGOA ALEGRE-PI</t>
  </si>
  <si>
    <t>LAGOA BONITA DO SUL-RS</t>
  </si>
  <si>
    <t>LAGOA DA CANOA-AL</t>
  </si>
  <si>
    <t>LAGOA DA CONFUSAO-TO</t>
  </si>
  <si>
    <t>LAGOA DA PRATA-MG</t>
  </si>
  <si>
    <t>LAGOA D'ANTA-RN</t>
  </si>
  <si>
    <t>LAGOA DE DENTRO-PB</t>
  </si>
  <si>
    <t>LAGOA DE ITAENGA-PE</t>
  </si>
  <si>
    <t>LAGOA DE PEDRAS-RN</t>
  </si>
  <si>
    <t>LAGOA DE SAO FRANCISCO-PI</t>
  </si>
  <si>
    <t>LAGOA DE VELHOS-RN</t>
  </si>
  <si>
    <t>LAGOA DO BARRO DO PIAUI-PI</t>
  </si>
  <si>
    <t>LAGOA DO CARRO-PE</t>
  </si>
  <si>
    <t>LAGOA DO MATO-MA</t>
  </si>
  <si>
    <t>LAGOA DO OURO-PE</t>
  </si>
  <si>
    <t>LAGOA DO PIAUI-PI</t>
  </si>
  <si>
    <t>LAGOA DO SITIO-PI</t>
  </si>
  <si>
    <t>LAGOA DO TOCANTINS-TO</t>
  </si>
  <si>
    <t>LAGOA DOS GATOS-PE</t>
  </si>
  <si>
    <t>LAGOA DOS PATOS-MG</t>
  </si>
  <si>
    <t>LAGOA DOS TRES CANTOS-RS</t>
  </si>
  <si>
    <t>LAGOA DOURADA-MG</t>
  </si>
  <si>
    <t>LAGOA FORMOSA-MG</t>
  </si>
  <si>
    <t>LAGOA GRANDE-MG</t>
  </si>
  <si>
    <t>LAGOA GRANDE-PE</t>
  </si>
  <si>
    <t>LAGOA GRANDE DO MARANHAO-MA</t>
  </si>
  <si>
    <t>LAGOA NOVA-RN</t>
  </si>
  <si>
    <t>LAGOA REAL-BA</t>
  </si>
  <si>
    <t>LAGOA SALGADA-RN</t>
  </si>
  <si>
    <t>LAGOA SANTA-GO</t>
  </si>
  <si>
    <t>LAGOA SANTA-MG</t>
  </si>
  <si>
    <t>LAGOA SECA-PB</t>
  </si>
  <si>
    <t>LAGOA VERMELHA-RS</t>
  </si>
  <si>
    <t>LAGOAO-RS</t>
  </si>
  <si>
    <t>LAGOINHA-SP</t>
  </si>
  <si>
    <t>LAGOINHA DO PIAUI-PI</t>
  </si>
  <si>
    <t>LAGUNA-SC</t>
  </si>
  <si>
    <t>LAGUNA CARAPA-MS</t>
  </si>
  <si>
    <t>LAJE-BA</t>
  </si>
  <si>
    <t>LAJE DO MURIAE-RJ</t>
  </si>
  <si>
    <t>LAJEADO-RS</t>
  </si>
  <si>
    <t>LAJEADO-TO</t>
  </si>
  <si>
    <t>LAJEADO DO BUGRE-RS</t>
  </si>
  <si>
    <t>LAJEADO GRANDE-SC</t>
  </si>
  <si>
    <t>LAJEADO NOVO-MA</t>
  </si>
  <si>
    <t>LAJEDAO-BA</t>
  </si>
  <si>
    <t>LAJEDINHO-BA</t>
  </si>
  <si>
    <t>LAJEDO-PE</t>
  </si>
  <si>
    <t>LAJEDO DO TABOCAL-BA</t>
  </si>
  <si>
    <t>LAJES-RN</t>
  </si>
  <si>
    <t>LAJES PINTADAS-RN</t>
  </si>
  <si>
    <t>LAJINHA-MG</t>
  </si>
  <si>
    <t>LAMARAO-BA</t>
  </si>
  <si>
    <t>LAMBARI-MG</t>
  </si>
  <si>
    <t>LAMBARI D'OESTE-MT</t>
  </si>
  <si>
    <t>LAMIM-MG</t>
  </si>
  <si>
    <t>LANDRI SALES-PI</t>
  </si>
  <si>
    <t>LAPA-PR</t>
  </si>
  <si>
    <t>LAPAO-BA</t>
  </si>
  <si>
    <t>LARANJA DA TERRA-ES</t>
  </si>
  <si>
    <t>LARANJAL-MG</t>
  </si>
  <si>
    <t>LARANJAL-PR</t>
  </si>
  <si>
    <t>LARANJAL DO JARI-AP</t>
  </si>
  <si>
    <t>LARANJAL PAULISTA-SP</t>
  </si>
  <si>
    <t>LARANJEIRAS-SE</t>
  </si>
  <si>
    <t>LARANJEIRAS DO SUL-PR</t>
  </si>
  <si>
    <t>LASSANCE-MG</t>
  </si>
  <si>
    <t>LASTRO-PB</t>
  </si>
  <si>
    <t>LAURENTINO-SC</t>
  </si>
  <si>
    <t>LAURO DE FREITAS-BA</t>
  </si>
  <si>
    <t>LAURO MÜLLER-SC</t>
  </si>
  <si>
    <t>LAVANDEIRA-TO</t>
  </si>
  <si>
    <t>LAVINIA-SP</t>
  </si>
  <si>
    <t>LAVRAS-MG</t>
  </si>
  <si>
    <t>LAVRAS DA MANGABEIRA-CE</t>
  </si>
  <si>
    <t>LAVRAS DO SUL-RS</t>
  </si>
  <si>
    <t>LAVRINHAS-SP</t>
  </si>
  <si>
    <t>LEANDRO FERREIRA-MG</t>
  </si>
  <si>
    <t>LEBON REGIS-SC</t>
  </si>
  <si>
    <t>LEME-SP</t>
  </si>
  <si>
    <t>LEME DO PRADO-MG</t>
  </si>
  <si>
    <t>LENCOIS-BA</t>
  </si>
  <si>
    <t>LENCOIS PAULISTA-SP</t>
  </si>
  <si>
    <t>LEOBERTO LEAL-SC</t>
  </si>
  <si>
    <t>LEOPOLDINA-MG</t>
  </si>
  <si>
    <t>LEOPOLDO DE BULHOES-GO</t>
  </si>
  <si>
    <t>LEOPOLIS-PR</t>
  </si>
  <si>
    <t>LIBERATO SALZANO-RS</t>
  </si>
  <si>
    <t>LIBERDADE-MG</t>
  </si>
  <si>
    <t>LICINIO DE ALMEIDA-BA</t>
  </si>
  <si>
    <t>LIDIANOPOLIS-PR</t>
  </si>
  <si>
    <t>LIMA CAMPOS-MA</t>
  </si>
  <si>
    <t>LIMA DUARTE-MG</t>
  </si>
  <si>
    <t>LIMEIRA-SP</t>
  </si>
  <si>
    <t>LIMEIRA DO OESTE-MG</t>
  </si>
  <si>
    <t>LIMOEIRO-PE</t>
  </si>
  <si>
    <t>LIMOEIRO DE ANADIA-AL</t>
  </si>
  <si>
    <t>LIMOEIRO DO AJURU-PA</t>
  </si>
  <si>
    <t>LIMOEIRO DO NORTE-CE</t>
  </si>
  <si>
    <t>LINDOESTE-PR</t>
  </si>
  <si>
    <t>LINDOIA-SP</t>
  </si>
  <si>
    <t>LINDOIA DO SUL-SC</t>
  </si>
  <si>
    <t>LINDOLFO COLLOR-RS</t>
  </si>
  <si>
    <t>LINHA NOVA-RS</t>
  </si>
  <si>
    <t>LINHARES-ES</t>
  </si>
  <si>
    <t>LINS-SP</t>
  </si>
  <si>
    <t>LIVRAMENTO-PB</t>
  </si>
  <si>
    <t>LIVRAMENTO DE NOSSA SENHORA-BA</t>
  </si>
  <si>
    <t>LIZARDA-TO</t>
  </si>
  <si>
    <t>LOANDA-PR</t>
  </si>
  <si>
    <t>LOBATO-PR</t>
  </si>
  <si>
    <t>LOGRADOURO-PB</t>
  </si>
  <si>
    <t>LONDRINA-PR</t>
  </si>
  <si>
    <t>LONTRA-MG</t>
  </si>
  <si>
    <t>LONTRAS-SC</t>
  </si>
  <si>
    <t>LORENA-SP</t>
  </si>
  <si>
    <t>LORETO-MA</t>
  </si>
  <si>
    <t>LOURDES-SP</t>
  </si>
  <si>
    <t>LOUVEIRA-SP</t>
  </si>
  <si>
    <t>LUCAS DO RIO VERDE-MT</t>
  </si>
  <si>
    <t>LUCELIA-SP</t>
  </si>
  <si>
    <t>LUCENA-PB</t>
  </si>
  <si>
    <t>LUCIANOPOLIS-SP</t>
  </si>
  <si>
    <t>LUCIARA-MT</t>
  </si>
  <si>
    <t>LUCRECIA-RN</t>
  </si>
  <si>
    <t>LUIS ANTONIO-SP</t>
  </si>
  <si>
    <t>LUIS CORREIA-PI</t>
  </si>
  <si>
    <t>LUIS DOMINGUES-MA</t>
  </si>
  <si>
    <t>LUIS EDUARDO MAGALHAES-BA</t>
  </si>
  <si>
    <t>LUIS GOMES-RN</t>
  </si>
  <si>
    <t>LUISBURGO-MG</t>
  </si>
  <si>
    <t>LUISLANDIA-MG</t>
  </si>
  <si>
    <t>LUIZ ALVES-SC</t>
  </si>
  <si>
    <t>LUIZIANA-PR</t>
  </si>
  <si>
    <t>LUIZIANIA-SP</t>
  </si>
  <si>
    <t>LUMINARIAS-MG</t>
  </si>
  <si>
    <t>LUNARDELLI-PR</t>
  </si>
  <si>
    <t>LUPERCIO-SP</t>
  </si>
  <si>
    <t>LUPIONOPOLIS-PR</t>
  </si>
  <si>
    <t>LUTECIA-SP</t>
  </si>
  <si>
    <t>LUZ-MG</t>
  </si>
  <si>
    <t>LUZERNA-SC</t>
  </si>
  <si>
    <t>LUZIANIA-GO</t>
  </si>
  <si>
    <t>LUZILANDIA-PI</t>
  </si>
  <si>
    <t>LUZINOPOLIS-TO</t>
  </si>
  <si>
    <t>MACAE-RJ</t>
  </si>
  <si>
    <t>MACAIBA-RN</t>
  </si>
  <si>
    <t>MACAJUBA-BA</t>
  </si>
  <si>
    <t>MACAMBARA-RS</t>
  </si>
  <si>
    <t>MACAMBIRA-SE</t>
  </si>
  <si>
    <t>MACAPA-AP</t>
  </si>
  <si>
    <t>MACAPARANA-PE</t>
  </si>
  <si>
    <t>MACARANI-BA</t>
  </si>
  <si>
    <t>MACATUBA-SP</t>
  </si>
  <si>
    <t>MACAU-RN</t>
  </si>
  <si>
    <t>MACAUBAL-SP</t>
  </si>
  <si>
    <t>MACAUBAS-BA</t>
  </si>
  <si>
    <t>MACEDONIA-SP</t>
  </si>
  <si>
    <t>MACEIO-AL</t>
  </si>
  <si>
    <t>MACHACALIS-MG</t>
  </si>
  <si>
    <t>MACHADINHO-RS</t>
  </si>
  <si>
    <t>MACHADINHO D'OESTE-RO</t>
  </si>
  <si>
    <t>MACHADO-MG</t>
  </si>
  <si>
    <t>MACHADOS-PE</t>
  </si>
  <si>
    <t>MACIEIRA-SC</t>
  </si>
  <si>
    <t>MACUCO-RJ</t>
  </si>
  <si>
    <t>MACURURE-BA</t>
  </si>
  <si>
    <t>MADALENA-CE</t>
  </si>
  <si>
    <t>MADEIRO-PI</t>
  </si>
  <si>
    <t>MADRE DE DEUS-BA</t>
  </si>
  <si>
    <t>MADRE DE DEUS DE MINAS-MG</t>
  </si>
  <si>
    <t>MAE D'AGUA-PB</t>
  </si>
  <si>
    <t>MAE DO RIO-PA</t>
  </si>
  <si>
    <t>MAETINGA-BA</t>
  </si>
  <si>
    <t>MAFRA-SC</t>
  </si>
  <si>
    <t>MAGALHAES BARATA-PA</t>
  </si>
  <si>
    <t>MAGALHAES DE ALMEIDA-MA</t>
  </si>
  <si>
    <t>MAGDA-SP</t>
  </si>
  <si>
    <t>MAGE-RJ</t>
  </si>
  <si>
    <t>MAIQUINIQUE-BA</t>
  </si>
  <si>
    <t>MAIRI-BA</t>
  </si>
  <si>
    <t>MAIRINQUE-SP</t>
  </si>
  <si>
    <t>MAIRIPORA-SP</t>
  </si>
  <si>
    <t>MAIRIPOTABA-GO</t>
  </si>
  <si>
    <t>MAJOR GERCINO-SC</t>
  </si>
  <si>
    <t>MAJOR ISIDORO-AL</t>
  </si>
  <si>
    <t>MAJOR SALES-RN</t>
  </si>
  <si>
    <t>MAJOR VIEIRA-SC</t>
  </si>
  <si>
    <t>MALACACHETA-MG</t>
  </si>
  <si>
    <t>MALHADA-BA</t>
  </si>
  <si>
    <t>MALHADA DE PEDRAS-BA</t>
  </si>
  <si>
    <t>MALHADA DOS BOIS-SE</t>
  </si>
  <si>
    <t>MALHADOR-SE</t>
  </si>
  <si>
    <t>MALLET-PR</t>
  </si>
  <si>
    <t>MALTA-PB</t>
  </si>
  <si>
    <t>MAMANGUAPE-PB</t>
  </si>
  <si>
    <t>MAMBAI-GO</t>
  </si>
  <si>
    <t>MAMBORE-PR</t>
  </si>
  <si>
    <t>MAMONAS-MG</t>
  </si>
  <si>
    <t>MAMPITUBA-RS</t>
  </si>
  <si>
    <t>MANACAPURU-AM</t>
  </si>
  <si>
    <t>MANAIRA-PB</t>
  </si>
  <si>
    <t>MANAQUIRI-AM</t>
  </si>
  <si>
    <t>MANARI-PE</t>
  </si>
  <si>
    <t>MANAUS-AM</t>
  </si>
  <si>
    <t>MANCIO LIMA-AC</t>
  </si>
  <si>
    <t>MANDAGUACU-PR</t>
  </si>
  <si>
    <t>MANDAGUARI-PR</t>
  </si>
  <si>
    <t>MANDIRITUBA-PR</t>
  </si>
  <si>
    <t>MANDURI-SP</t>
  </si>
  <si>
    <t>MANFRINOPOLIS-PR</t>
  </si>
  <si>
    <t>MANGA-MG</t>
  </si>
  <si>
    <t>MANGARATIBA-RJ</t>
  </si>
  <si>
    <t>MANGUEIRINHA-PR</t>
  </si>
  <si>
    <t>MANHUACU-MG</t>
  </si>
  <si>
    <t>MANHUMIRIM-MG</t>
  </si>
  <si>
    <t>MANICORE-AM</t>
  </si>
  <si>
    <t>MANOEL EMIDIO-PI</t>
  </si>
  <si>
    <t>MANOEL RIBAS-PR</t>
  </si>
  <si>
    <t>MANOEL URBANO-AC</t>
  </si>
  <si>
    <t>MANOEL VIANA-RS</t>
  </si>
  <si>
    <t>MANOEL VITORINO-BA</t>
  </si>
  <si>
    <t>MANSIDAO-BA</t>
  </si>
  <si>
    <t>MANTENA-MG</t>
  </si>
  <si>
    <t>MANTENOPOLIS-ES</t>
  </si>
  <si>
    <t>MAQUINE-RS</t>
  </si>
  <si>
    <t>MAR DE ESPANHA-MG</t>
  </si>
  <si>
    <t>MAR VERMELHO-AL</t>
  </si>
  <si>
    <t>MARA ROSA-GO</t>
  </si>
  <si>
    <t>MARAA-AM</t>
  </si>
  <si>
    <t>MARABA-PA</t>
  </si>
  <si>
    <t>MARABA PAULISTA-SP</t>
  </si>
  <si>
    <t>MARACACUME-MA</t>
  </si>
  <si>
    <t>MARACAI-SP</t>
  </si>
  <si>
    <t>MARACAJA-SC</t>
  </si>
  <si>
    <t>MARACAJU-MS</t>
  </si>
  <si>
    <t>MARACANA-PA</t>
  </si>
  <si>
    <t>MARACANAU-CE</t>
  </si>
  <si>
    <t>MARACAS-BA</t>
  </si>
  <si>
    <t>MARAGOGI-AL</t>
  </si>
  <si>
    <t>MARAGOGIPE-BA</t>
  </si>
  <si>
    <t>MARAIAL-PE</t>
  </si>
  <si>
    <t>MARAJA DO SENA-MA</t>
  </si>
  <si>
    <t>MARANGUAPE-CE</t>
  </si>
  <si>
    <t>MARANHAOZINHO-MA</t>
  </si>
  <si>
    <t>MARAPANIM-PA</t>
  </si>
  <si>
    <t>MARAPOAMA-SP</t>
  </si>
  <si>
    <t>MARATA-RS</t>
  </si>
  <si>
    <t>MARATAIZES-ES</t>
  </si>
  <si>
    <t>MARAU-RS</t>
  </si>
  <si>
    <t>MARAU-BA</t>
  </si>
  <si>
    <t>MARAVILHA-AL</t>
  </si>
  <si>
    <t>MARAVILHA-SC</t>
  </si>
  <si>
    <t>MARAVILHAS-MG</t>
  </si>
  <si>
    <t>MARCACAO-PB</t>
  </si>
  <si>
    <t>MARCELANDIA-MT</t>
  </si>
  <si>
    <t>MARCELINO RAMOS-RS</t>
  </si>
  <si>
    <t>MARCELINO VIEIRA-RN</t>
  </si>
  <si>
    <t>MARCIONILIO SOUZA-BA</t>
  </si>
  <si>
    <t>MARCO-CE</t>
  </si>
  <si>
    <t>MARCOLANDIA-PI</t>
  </si>
  <si>
    <t>MARCOS PARENTE-PI</t>
  </si>
  <si>
    <t>MARECHAL CANDIDO RONDON-PR</t>
  </si>
  <si>
    <t>MARECHAL DEODORO-AL</t>
  </si>
  <si>
    <t>MARECHAL FLORIANO-ES</t>
  </si>
  <si>
    <t>MARECHAL THAUMATURGO-AC</t>
  </si>
  <si>
    <t>MAREMA-SC</t>
  </si>
  <si>
    <t>MARI-PB</t>
  </si>
  <si>
    <t>MARIA DA FE-MG</t>
  </si>
  <si>
    <t>MARIA HELENA-PR</t>
  </si>
  <si>
    <t>MARIALVA-PR</t>
  </si>
  <si>
    <t>MARIANA-MG</t>
  </si>
  <si>
    <t>MARIANA PIMENTEL-RS</t>
  </si>
  <si>
    <t>MARIANO MORO-RS</t>
  </si>
  <si>
    <t>MARIANOPOLIS DO TOCANTINS-TO</t>
  </si>
  <si>
    <t>MARIAPOLIS-SP</t>
  </si>
  <si>
    <t>MARIBONDO-AL</t>
  </si>
  <si>
    <t>MARICA-RJ</t>
  </si>
  <si>
    <t>MARILAC-MG</t>
  </si>
  <si>
    <t>MARILANDIA-ES</t>
  </si>
  <si>
    <t>MARILANDIA DO SUL-PR</t>
  </si>
  <si>
    <t>MARILENA-PR</t>
  </si>
  <si>
    <t>MARILIA-SP</t>
  </si>
  <si>
    <t>MARILUZ-PR</t>
  </si>
  <si>
    <t>MARINGA-PR</t>
  </si>
  <si>
    <t>MARINOPOLIS-SP</t>
  </si>
  <si>
    <t>MARIO CAMPOS-MG</t>
  </si>
  <si>
    <t>MARIOPOLIS-PR</t>
  </si>
  <si>
    <t>MARIPA-PR</t>
  </si>
  <si>
    <t>MARIPA DE MINAS-MG</t>
  </si>
  <si>
    <t>MARITUBA-PA</t>
  </si>
  <si>
    <t>MARIZOPOLIS-PB</t>
  </si>
  <si>
    <t>MARLIERIA-MG</t>
  </si>
  <si>
    <t>MARMELEIRO-PR</t>
  </si>
  <si>
    <t>MARMELOPOLIS-MG</t>
  </si>
  <si>
    <t>MARQUES DE SOUZA-RS</t>
  </si>
  <si>
    <t>MARQUINHO-PR</t>
  </si>
  <si>
    <t>MARTINHO CAMPOS-MG</t>
  </si>
  <si>
    <t>MARTINOPOLE-CE</t>
  </si>
  <si>
    <t>MARTINOPOLIS-SP</t>
  </si>
  <si>
    <t>MARTINS-RN</t>
  </si>
  <si>
    <t>MARTINS SOARES-MG</t>
  </si>
  <si>
    <t>MARUIM-SE</t>
  </si>
  <si>
    <t>MARUMBI-PR</t>
  </si>
  <si>
    <t>MARZAGAO-GO</t>
  </si>
  <si>
    <t>MASCOTE-BA</t>
  </si>
  <si>
    <t>MASSAPE-CE</t>
  </si>
  <si>
    <t>MASSAPE DO PIAUI-PI</t>
  </si>
  <si>
    <t>MASSARANDUBA-PB</t>
  </si>
  <si>
    <t>MASSARANDUBA-SC</t>
  </si>
  <si>
    <t>MATA-RS</t>
  </si>
  <si>
    <t>MATA DE SAO JOAO-BA</t>
  </si>
  <si>
    <t>MATA GRANDE-AL</t>
  </si>
  <si>
    <t>MATA ROMA-MA</t>
  </si>
  <si>
    <t>MATA VERDE-MG</t>
  </si>
  <si>
    <t>MATAO-SP</t>
  </si>
  <si>
    <t>MATARACA-PB</t>
  </si>
  <si>
    <t>MATEIROS-TO</t>
  </si>
  <si>
    <t>MATELANDIA-PR</t>
  </si>
  <si>
    <t>MATERLANDIA-MG</t>
  </si>
  <si>
    <t>MATEUS LEME-MG</t>
  </si>
  <si>
    <t>MATHIAS LOBATO-MG</t>
  </si>
  <si>
    <t>MATIAS BARBOSA-MG</t>
  </si>
  <si>
    <t>MATIAS CARDOSO-MG</t>
  </si>
  <si>
    <t>MATIAS OLIMPIO-PI</t>
  </si>
  <si>
    <t>MATINA-BA</t>
  </si>
  <si>
    <t>MATINHA-MA</t>
  </si>
  <si>
    <t>MATINHAS-PB</t>
  </si>
  <si>
    <t>MATINHOS-PR</t>
  </si>
  <si>
    <t>MATIPO-MG</t>
  </si>
  <si>
    <t>MATO CASTELHANO-RS</t>
  </si>
  <si>
    <t>MATO GROSSO-PB</t>
  </si>
  <si>
    <t>MATO LEITAO-RS</t>
  </si>
  <si>
    <t>MATO QUEIMADO-RS</t>
  </si>
  <si>
    <t>MATO RICO-PR</t>
  </si>
  <si>
    <t>MATO VERDE-MG</t>
  </si>
  <si>
    <t>MATOES-MA</t>
  </si>
  <si>
    <t>MATOES DO NORTE-MA</t>
  </si>
  <si>
    <t>MATOS COSTA-SC</t>
  </si>
  <si>
    <t>MATOZINHOS-MG</t>
  </si>
  <si>
    <t>MATRINCHA-GO</t>
  </si>
  <si>
    <t>MATRIZ DE CAMARAGIBE-AL</t>
  </si>
  <si>
    <t>MATUPA-MT</t>
  </si>
  <si>
    <t>MATUREIA-PB</t>
  </si>
  <si>
    <t>MATUTINA-MG</t>
  </si>
  <si>
    <t>MAUA-SP</t>
  </si>
  <si>
    <t>MAUA DA SERRA-PR</t>
  </si>
  <si>
    <t>MAUES-AM</t>
  </si>
  <si>
    <t>MAURILANDIA-GO</t>
  </si>
  <si>
    <t>MAURILANDIA DO TOCANTINS-TO</t>
  </si>
  <si>
    <t>MAURITI-CE</t>
  </si>
  <si>
    <t>MAXARANGUAPE-RN</t>
  </si>
  <si>
    <t>MAXIMILIANO DE ALMEIDA-RS</t>
  </si>
  <si>
    <t>MAZAGAO-AP</t>
  </si>
  <si>
    <t>MEDEIROS-MG</t>
  </si>
  <si>
    <t>MEDEIROS NETO-BA</t>
  </si>
  <si>
    <t>MEDIANEIRA-PR</t>
  </si>
  <si>
    <t>MEDICILANDIA-PA</t>
  </si>
  <si>
    <t>MEDINA-MG</t>
  </si>
  <si>
    <t>MELEIRO-SC</t>
  </si>
  <si>
    <t>MELGACO-PA</t>
  </si>
  <si>
    <t>MENDES-RJ</t>
  </si>
  <si>
    <t>MENDES PIMENTEL-MG</t>
  </si>
  <si>
    <t>MENDONCA-SP</t>
  </si>
  <si>
    <t>MERCEDES-PR</t>
  </si>
  <si>
    <t>MERCES-MG</t>
  </si>
  <si>
    <t>MERIDIANO-SP</t>
  </si>
  <si>
    <t>MERUOCA-CE</t>
  </si>
  <si>
    <t>MESOPOLIS-SP</t>
  </si>
  <si>
    <t>MESQUITA-MG</t>
  </si>
  <si>
    <t>MESQUITA-RJ</t>
  </si>
  <si>
    <t>MESSIAS-AL</t>
  </si>
  <si>
    <t>MESSIAS TARGINO-RN</t>
  </si>
  <si>
    <t>MIGUEL ALVES-PI</t>
  </si>
  <si>
    <t>MIGUEL CALMON-BA</t>
  </si>
  <si>
    <t>MIGUEL LEAO-PI</t>
  </si>
  <si>
    <t>MIGUEL PEREIRA-RJ</t>
  </si>
  <si>
    <t>MIGUELOPOLIS-SP</t>
  </si>
  <si>
    <t>MILAGRES-BA</t>
  </si>
  <si>
    <t>MILAGRES-CE</t>
  </si>
  <si>
    <t>MILAGRES DO MARANHAO-MA</t>
  </si>
  <si>
    <t>MILHA-CE</t>
  </si>
  <si>
    <t>MILTON BRANDAO-PI</t>
  </si>
  <si>
    <t>MIMOSO DE GOIAS-GO</t>
  </si>
  <si>
    <t>MIMOSO DO SUL-ES</t>
  </si>
  <si>
    <t>MINACU-GO</t>
  </si>
  <si>
    <t>MINADOR DO NEGRAO-AL</t>
  </si>
  <si>
    <t>MINAS DO LEAO-RS</t>
  </si>
  <si>
    <t>MINAS NOVAS-MG</t>
  </si>
  <si>
    <t>MINDURI-MG</t>
  </si>
  <si>
    <t>MINEIROS-GO</t>
  </si>
  <si>
    <t>MINEIROS DO TIETE-SP</t>
  </si>
  <si>
    <t>MINISTRO ANDREAZZA-RO</t>
  </si>
  <si>
    <t>MIRA ESTRELA-SP</t>
  </si>
  <si>
    <t>MIRABELA-MG</t>
  </si>
  <si>
    <t>MIRACATU-SP</t>
  </si>
  <si>
    <t>MIRACEMA-RJ</t>
  </si>
  <si>
    <t>MIRACEMA DO TOCANTINS-TO</t>
  </si>
  <si>
    <t>MIRADOR-MA</t>
  </si>
  <si>
    <t>MIRADOR-PR</t>
  </si>
  <si>
    <t>MIRADOURO-MG</t>
  </si>
  <si>
    <t>MIRAGUAI-RS</t>
  </si>
  <si>
    <t>MIRAI-MG</t>
  </si>
  <si>
    <t>MIRAIMA-CE</t>
  </si>
  <si>
    <t>MIRANDA-MS</t>
  </si>
  <si>
    <t>MIRANDA DO NORTE-MA</t>
  </si>
  <si>
    <t>MIRANDIBA-PE</t>
  </si>
  <si>
    <t>MIRANDOPOLIS-SP</t>
  </si>
  <si>
    <t>MIRANGABA-BA</t>
  </si>
  <si>
    <t>MIRANORTE-TO</t>
  </si>
  <si>
    <t>MIRANTE-BA</t>
  </si>
  <si>
    <t>MIRANTE DA SERRA-RO</t>
  </si>
  <si>
    <t>MIRANTE DO PARANAPANEMA-SP</t>
  </si>
  <si>
    <t>MIRASELVA-PR</t>
  </si>
  <si>
    <t>MIRASSOL-SP</t>
  </si>
  <si>
    <t>MIRASSOL D'OESTE-MT</t>
  </si>
  <si>
    <t>MIRASSOLANDIA-SP</t>
  </si>
  <si>
    <t>MIRAVANIA-MG</t>
  </si>
  <si>
    <t>MIRIM DOCE-SC</t>
  </si>
  <si>
    <t>MIRINZAL-MA</t>
  </si>
  <si>
    <t>MISSAL-PR</t>
  </si>
  <si>
    <t>MISSAO VELHA-CE</t>
  </si>
  <si>
    <t>MOCAJUBA-PA</t>
  </si>
  <si>
    <t>MOCOCA-SP</t>
  </si>
  <si>
    <t>MODELO-SC</t>
  </si>
  <si>
    <t>MOEDA-MG</t>
  </si>
  <si>
    <t>MOEMA-MG</t>
  </si>
  <si>
    <t>MOGEIRO-PB</t>
  </si>
  <si>
    <t>MOGI DAS CRUZES-SP</t>
  </si>
  <si>
    <t>MOGI GUACU-SP</t>
  </si>
  <si>
    <t>MOGI MIRIM-SP</t>
  </si>
  <si>
    <t>MOIPORA-GO</t>
  </si>
  <si>
    <t>MOITA BONITA-SE</t>
  </si>
  <si>
    <t>MOJU-PA</t>
  </si>
  <si>
    <t>MOJUI DOS CAMPOS-PA</t>
  </si>
  <si>
    <t>MOMBACA-CE</t>
  </si>
  <si>
    <t>MOMBUCA-SP</t>
  </si>
  <si>
    <t>MONCAO-MA</t>
  </si>
  <si>
    <t>MONCOES-SP</t>
  </si>
  <si>
    <t>MONDAI-SC</t>
  </si>
  <si>
    <t>MONGAGUA-SP</t>
  </si>
  <si>
    <t>MONJOLOS-MG</t>
  </si>
  <si>
    <t>MONSENHOR GIL-PI</t>
  </si>
  <si>
    <t>MONSENHOR HIPOLITO-PI</t>
  </si>
  <si>
    <t>MONSENHOR PAULO-MG</t>
  </si>
  <si>
    <t>MONSENHOR TABOSA-CE</t>
  </si>
  <si>
    <t>MONTADAS-PB</t>
  </si>
  <si>
    <t>MONTALVANIA-MG</t>
  </si>
  <si>
    <t>MONTANHA-ES</t>
  </si>
  <si>
    <t>MONTANHAS-RN</t>
  </si>
  <si>
    <t>MONTAURI-RS</t>
  </si>
  <si>
    <t>MONTE ALEGRE-PA</t>
  </si>
  <si>
    <t>MONTE ALEGRE-RN</t>
  </si>
  <si>
    <t>MONTE ALEGRE DE GOIAS-GO</t>
  </si>
  <si>
    <t>MONTE ALEGRE DE MINAS-MG</t>
  </si>
  <si>
    <t>MONTE ALEGRE DE SERGIPE-SE</t>
  </si>
  <si>
    <t>MONTE ALEGRE DO PIAUI-PI</t>
  </si>
  <si>
    <t>MONTE ALEGRE DO SUL-SP</t>
  </si>
  <si>
    <t>MONTE ALEGRE DOS CAMPOS-RS</t>
  </si>
  <si>
    <t>MONTE ALTO-SP</t>
  </si>
  <si>
    <t>MONTE APRAZIVEL-SP</t>
  </si>
  <si>
    <t>MONTE AZUL-MG</t>
  </si>
  <si>
    <t>MONTE AZUL PAULISTA-SP</t>
  </si>
  <si>
    <t>MONTE BELO-MG</t>
  </si>
  <si>
    <t>MONTE BELO DO SUL-RS</t>
  </si>
  <si>
    <t>MONTE CARLO-SC</t>
  </si>
  <si>
    <t>MONTE CARMELO-MG</t>
  </si>
  <si>
    <t>MONTE CASTELO-SC</t>
  </si>
  <si>
    <t>MONTE CASTELO-SP</t>
  </si>
  <si>
    <t>MONTE DAS GAMELEIRAS-RN</t>
  </si>
  <si>
    <t>MONTE DO CARMO-TO</t>
  </si>
  <si>
    <t>MONTE FORMOSO-MG</t>
  </si>
  <si>
    <t>MONTE HOREBE-PB</t>
  </si>
  <si>
    <t>MONTE MOR-SP</t>
  </si>
  <si>
    <t>MONTE NEGRO-RO</t>
  </si>
  <si>
    <t>MONTE SANTO-BA</t>
  </si>
  <si>
    <t>MONTE SANTO DE MINAS-MG</t>
  </si>
  <si>
    <t>MONTE SANTO DO TOCANTINS-TO</t>
  </si>
  <si>
    <t>MONTE SIAO-MG</t>
  </si>
  <si>
    <t>MONTEIRO-PB</t>
  </si>
  <si>
    <t>MONTEIRO LOBATO-SP</t>
  </si>
  <si>
    <t>MONTEIROPOLIS-AL</t>
  </si>
  <si>
    <t>MONTENEGRO-RS</t>
  </si>
  <si>
    <t>MONTES ALTOS-MA</t>
  </si>
  <si>
    <t>MONTES CLAROS-MG</t>
  </si>
  <si>
    <t>MONTES CLAROS DE GOIAS-GO</t>
  </si>
  <si>
    <t>MONTEZUMA-MG</t>
  </si>
  <si>
    <t>MONTIVIDIU-GO</t>
  </si>
  <si>
    <t>MONTIVIDIU DO NORTE-GO</t>
  </si>
  <si>
    <t>MORADA NOVA-CE</t>
  </si>
  <si>
    <t>MORADA NOVA DE MINAS-MG</t>
  </si>
  <si>
    <t>MORAUJO-CE</t>
  </si>
  <si>
    <t>MOREILANDIA-PE</t>
  </si>
  <si>
    <t>MOREIRA SALES-PR</t>
  </si>
  <si>
    <t>MORENO-PE</t>
  </si>
  <si>
    <t>MORMACO-RS</t>
  </si>
  <si>
    <t>MORPARA-BA</t>
  </si>
  <si>
    <t>MORRETES-PR</t>
  </si>
  <si>
    <t>MORRINHOS-CE</t>
  </si>
  <si>
    <t>MORRINHOS-GO</t>
  </si>
  <si>
    <t>MORRINHOS DO SUL-RS</t>
  </si>
  <si>
    <t>MORRO AGUDO-SP</t>
  </si>
  <si>
    <t>MORRO AGUDO DE GOIAS-GO</t>
  </si>
  <si>
    <t>MORRO CABECA NO TEMPO-PI</t>
  </si>
  <si>
    <t>MORRO DA FUMACA-SC</t>
  </si>
  <si>
    <t>MORRO DA GARCA-MG</t>
  </si>
  <si>
    <t>MORRO DO CHAPEU-BA</t>
  </si>
  <si>
    <t>MORRO DO CHAPEU DO PIAUI-PI</t>
  </si>
  <si>
    <t>MORRO DO PILAR-MG</t>
  </si>
  <si>
    <t>MORRO GRANDE-SC</t>
  </si>
  <si>
    <t>MORRO REDONDO-RS</t>
  </si>
  <si>
    <t>MORRO REUTER-RS</t>
  </si>
  <si>
    <t>MORROS-MA</t>
  </si>
  <si>
    <t>MORTUGABA-BA</t>
  </si>
  <si>
    <t>MORUNGABA-SP</t>
  </si>
  <si>
    <t>MOSSAMEDES-GO</t>
  </si>
  <si>
    <t>MOSSORO-RN</t>
  </si>
  <si>
    <t>MOSTARDAS-RS</t>
  </si>
  <si>
    <t>MOTUCA-SP</t>
  </si>
  <si>
    <t>MOZARLANDIA-GO</t>
  </si>
  <si>
    <t>MUANA-PA</t>
  </si>
  <si>
    <t>MUCAJAI-RR</t>
  </si>
  <si>
    <t>MUCAMBO-CE</t>
  </si>
  <si>
    <t>MUCUGE-BA</t>
  </si>
  <si>
    <t>MUCUM-RS</t>
  </si>
  <si>
    <t>MUCURI-BA</t>
  </si>
  <si>
    <t>MUCURICI-ES</t>
  </si>
  <si>
    <t>MUITOS CAPOES-RS</t>
  </si>
  <si>
    <t>MULITERNO-RS</t>
  </si>
  <si>
    <t>MULUNGU-CE</t>
  </si>
  <si>
    <t>MULUNGU-PB</t>
  </si>
  <si>
    <t>MULUNGU DO MORRO-BA</t>
  </si>
  <si>
    <t>MUNDO NOVO-BA</t>
  </si>
  <si>
    <t>MUNDO NOVO-GO</t>
  </si>
  <si>
    <t>MUNDO NOVO-MS</t>
  </si>
  <si>
    <t>MUNHOZ-MG</t>
  </si>
  <si>
    <t>MUNHOZ DE MELO-PR</t>
  </si>
  <si>
    <t>MUNIZ FERREIRA-BA</t>
  </si>
  <si>
    <t>MUNIZ FREIRE-ES</t>
  </si>
  <si>
    <t>MUQUEM DO SAO FRANCISCO-BA</t>
  </si>
  <si>
    <t>MUQUI-ES</t>
  </si>
  <si>
    <t>MURIAE-MG</t>
  </si>
  <si>
    <t>MURIBECA-SE</t>
  </si>
  <si>
    <t>MURICI-AL</t>
  </si>
  <si>
    <t>MURICI DOS PORTELAS-PI</t>
  </si>
  <si>
    <t>MURICILANDIA-TO</t>
  </si>
  <si>
    <t>MURITIBA-BA</t>
  </si>
  <si>
    <t>MURUTINGA DO SUL-SP</t>
  </si>
  <si>
    <t>MUTUIPE-BA</t>
  </si>
  <si>
    <t>MUTUM-MG</t>
  </si>
  <si>
    <t>MUTUNOPOLIS-GO</t>
  </si>
  <si>
    <t>MUZAMBINHO-MG</t>
  </si>
  <si>
    <t>NACIP RAYDAN-MG</t>
  </si>
  <si>
    <t>NANTES-SP</t>
  </si>
  <si>
    <t>NANUQUE-MG</t>
  </si>
  <si>
    <t>NAO-ME-TOQUE-RS</t>
  </si>
  <si>
    <t>NAQUE-MG</t>
  </si>
  <si>
    <t>NARANDIBA-SP</t>
  </si>
  <si>
    <t>NATAL-RN</t>
  </si>
  <si>
    <t>NATALANDIA-MG</t>
  </si>
  <si>
    <t>NATERCIA-MG</t>
  </si>
  <si>
    <t>NATIVIDADE-RJ</t>
  </si>
  <si>
    <t>NATIVIDADE-TO</t>
  </si>
  <si>
    <t>NATIVIDADE DA SERRA-SP</t>
  </si>
  <si>
    <t>NATUBA-PB</t>
  </si>
  <si>
    <t>NAVEGANTES-SC</t>
  </si>
  <si>
    <t>NAVIRAI-MS</t>
  </si>
  <si>
    <t>NAZARE-BA</t>
  </si>
  <si>
    <t>NAZARE-TO</t>
  </si>
  <si>
    <t>NAZARE DA MATA-PE</t>
  </si>
  <si>
    <t>NAZARE DO PIAUI-PI</t>
  </si>
  <si>
    <t>NAZARE PAULISTA-SP</t>
  </si>
  <si>
    <t>NAZARENO-MG</t>
  </si>
  <si>
    <t>NAZAREZINHO-PB</t>
  </si>
  <si>
    <t>NAZARIA-PI</t>
  </si>
  <si>
    <t>NAZARIO-GO</t>
  </si>
  <si>
    <t>NEOPOLIS-SE</t>
  </si>
  <si>
    <t>NEPOMUCENO-MG</t>
  </si>
  <si>
    <t>NEROPOLIS-GO</t>
  </si>
  <si>
    <t>NEVES PAULISTA-SP</t>
  </si>
  <si>
    <t>NHAMUNDA-AM</t>
  </si>
  <si>
    <t>NHANDEARA-SP</t>
  </si>
  <si>
    <t>NICOLAU VERGUEIRO-RS</t>
  </si>
  <si>
    <t>NILO PECANHA-BA</t>
  </si>
  <si>
    <t>NILOPOLIS-RJ</t>
  </si>
  <si>
    <t>NINA RODRIGUES-MA</t>
  </si>
  <si>
    <t>NINHEIRA-MG</t>
  </si>
  <si>
    <t>NIOAQUE-MS</t>
  </si>
  <si>
    <t>NIPOA-SP</t>
  </si>
  <si>
    <t>NIQUELANDIA-GO</t>
  </si>
  <si>
    <t>NISIA FLORESTA-RN</t>
  </si>
  <si>
    <t>NITEROI-RJ</t>
  </si>
  <si>
    <t>NOBRES-MT</t>
  </si>
  <si>
    <t>NONOAI-RS</t>
  </si>
  <si>
    <t>NORDESTINA-BA</t>
  </si>
  <si>
    <t>NORMANDIA-RR</t>
  </si>
  <si>
    <t>NORTELANDIA-MT</t>
  </si>
  <si>
    <t>NOSSA SENHORA APARECIDA-SE</t>
  </si>
  <si>
    <t>NOSSA SENHORA DA GLORIA-SE</t>
  </si>
  <si>
    <t>NOSSA SENHORA DAS DORES-SE</t>
  </si>
  <si>
    <t>NOSSA SENHORA DAS GRACAS-PR</t>
  </si>
  <si>
    <t>NOSSA SENHORA DE LOURDES-SE</t>
  </si>
  <si>
    <t>NOSSA SENHORA DE NAZARE-PI</t>
  </si>
  <si>
    <t>NOSSA SENHORA DO LIVRAMENTO-MT</t>
  </si>
  <si>
    <t>NOSSA SENHORA DO SOCORRO-SE</t>
  </si>
  <si>
    <t>NOSSA SENHORA DOS REMEDIOS-PI</t>
  </si>
  <si>
    <t>NOVA ALIANCA-SP</t>
  </si>
  <si>
    <t>NOVA ALIANCA DO IVAI-PR</t>
  </si>
  <si>
    <t>NOVA ALVORADA-RS</t>
  </si>
  <si>
    <t>NOVA ALVORADA DO SUL-MS</t>
  </si>
  <si>
    <t>NOVA AMERICA-GO</t>
  </si>
  <si>
    <t>NOVA AMERICA DA COLINA-PR</t>
  </si>
  <si>
    <t>NOVA ANDRADINA-MS</t>
  </si>
  <si>
    <t>NOVA ARACA-RS</t>
  </si>
  <si>
    <t>NOVA AURORA-GO</t>
  </si>
  <si>
    <t>NOVA AURORA-PR</t>
  </si>
  <si>
    <t>NOVA BANDEIRANTES-MT</t>
  </si>
  <si>
    <t>NOVA BASSANO-RS</t>
  </si>
  <si>
    <t>NOVA BELEM-MG</t>
  </si>
  <si>
    <t>NOVA BOA VISTA-RS</t>
  </si>
  <si>
    <t>NOVA BRASILANDIA-MT</t>
  </si>
  <si>
    <t>NOVA BRASILANDIA D'OESTE-RO</t>
  </si>
  <si>
    <t>NOVA BRESCIA-RS</t>
  </si>
  <si>
    <t>NOVA CAMPINA-SP</t>
  </si>
  <si>
    <t>NOVA CANAA-BA</t>
  </si>
  <si>
    <t>NOVA CANAA DO NORTE-MT</t>
  </si>
  <si>
    <t>NOVA CANAA PAULISTA-SP</t>
  </si>
  <si>
    <t>NOVA CANDELARIA-RS</t>
  </si>
  <si>
    <t>NOVA CANTU-PR</t>
  </si>
  <si>
    <t>NOVA CASTILHO-SP</t>
  </si>
  <si>
    <t>NOVA COLINAS-MA</t>
  </si>
  <si>
    <t>NOVA CRIXAS-GO</t>
  </si>
  <si>
    <t>NOVA CRUZ-RN</t>
  </si>
  <si>
    <t>NOVA ERA-MG</t>
  </si>
  <si>
    <t>NOVA ERECHIM-SC</t>
  </si>
  <si>
    <t>NOVA ESPERANCA-PR</t>
  </si>
  <si>
    <t>NOVA ESPERANCA DO PIRIA-PA</t>
  </si>
  <si>
    <t>NOVA ESPERANCA DO SUDOESTE-PR</t>
  </si>
  <si>
    <t>NOVA ESPERANCA DO SUL-RS</t>
  </si>
  <si>
    <t>NOVA EUROPA-SP</t>
  </si>
  <si>
    <t>NOVA FATIMA-BA</t>
  </si>
  <si>
    <t>NOVA FATIMA-PR</t>
  </si>
  <si>
    <t>NOVA FLORESTA-PB</t>
  </si>
  <si>
    <t>NOVA FRIBURGO-RJ</t>
  </si>
  <si>
    <t>NOVA GLORIA-GO</t>
  </si>
  <si>
    <t>NOVA GRANADA-SP</t>
  </si>
  <si>
    <t>NOVA GUARITA-MT</t>
  </si>
  <si>
    <t>NOVA GUATAPORANGA-SP</t>
  </si>
  <si>
    <t>NOVA HARTZ-RS</t>
  </si>
  <si>
    <t>NOVA IBIA-BA</t>
  </si>
  <si>
    <t>NOVA IGUACU-RJ</t>
  </si>
  <si>
    <t>NOVA IGUACU DE GOIAS-GO</t>
  </si>
  <si>
    <t>NOVA INDEPENDENCIA-SP</t>
  </si>
  <si>
    <t>NOVA IORQUE-MA</t>
  </si>
  <si>
    <t>NOVA IPIXUNA-PA</t>
  </si>
  <si>
    <t>NOVA ITABERABA-SC</t>
  </si>
  <si>
    <t>NOVA ITARANA-BA</t>
  </si>
  <si>
    <t>NOVA LACERDA-MT</t>
  </si>
  <si>
    <t>NOVA LARANJEIRAS-PR</t>
  </si>
  <si>
    <t>NOVA LIMA-MG</t>
  </si>
  <si>
    <t>NOVA LONDRINA-PR</t>
  </si>
  <si>
    <t>NOVA LUZITANIA-SP</t>
  </si>
  <si>
    <t>NOVA MAMORE-RO</t>
  </si>
  <si>
    <t>NOVA MARILANDIA-MT</t>
  </si>
  <si>
    <t>NOVA MARINGA-MT</t>
  </si>
  <si>
    <t>NOVA MODICA-MG</t>
  </si>
  <si>
    <t>NOVA MONTE VERDE-MT</t>
  </si>
  <si>
    <t>NOVA MUTUM-MT</t>
  </si>
  <si>
    <t>NOVA NAZARE-MT</t>
  </si>
  <si>
    <t>NOVA ODESSA-SP</t>
  </si>
  <si>
    <t>NOVA OLIMPIA-MT</t>
  </si>
  <si>
    <t>NOVA OLIMPIA-PR</t>
  </si>
  <si>
    <t>NOVA OLINDA-CE</t>
  </si>
  <si>
    <t>NOVA OLINDA-PB</t>
  </si>
  <si>
    <t>NOVA OLINDA-TO</t>
  </si>
  <si>
    <t>NOVA OLINDA DO MARANHAO-MA</t>
  </si>
  <si>
    <t>NOVA OLINDA DO NORTE-AM</t>
  </si>
  <si>
    <t>NOVA PADUA-RS</t>
  </si>
  <si>
    <t>NOVA PALMA-RS</t>
  </si>
  <si>
    <t>NOVA PALMEIRA-PB</t>
  </si>
  <si>
    <t>NOVA PETROPOLIS-RS</t>
  </si>
  <si>
    <t>NOVA PONTE-MG</t>
  </si>
  <si>
    <t>NOVA PORTEIRINHA-MG</t>
  </si>
  <si>
    <t>NOVA PRATA-RS</t>
  </si>
  <si>
    <t>NOVA PRATA DO IGUACU-PR</t>
  </si>
  <si>
    <t>NOVA RAMADA-RS</t>
  </si>
  <si>
    <t>NOVA REDENCAO-BA</t>
  </si>
  <si>
    <t>NOVA RESENDE-MG</t>
  </si>
  <si>
    <t>NOVA ROMA-GO</t>
  </si>
  <si>
    <t>NOVA ROMA DO SUL-RS</t>
  </si>
  <si>
    <t>NOVA ROSALANDIA-TO</t>
  </si>
  <si>
    <t>NOVA RUSSAS-CE</t>
  </si>
  <si>
    <t>NOVA SANTA BARBARA-PR</t>
  </si>
  <si>
    <t>NOVA SANTA HELENA-MT</t>
  </si>
  <si>
    <t>NOVA SANTA RITA-PI</t>
  </si>
  <si>
    <t>NOVA SANTA RITA-RS</t>
  </si>
  <si>
    <t>NOVA SANTA ROSA-PR</t>
  </si>
  <si>
    <t>NOVA SERRANA-MG</t>
  </si>
  <si>
    <t>NOVA SOURE-BA</t>
  </si>
  <si>
    <t>NOVA TEBAS-PR</t>
  </si>
  <si>
    <t>NOVA TIMBOTEUA-PA</t>
  </si>
  <si>
    <t>NOVA TRENTO-SC</t>
  </si>
  <si>
    <t>NOVA UBIRATA-MT</t>
  </si>
  <si>
    <t>NOVA UNIAO-MG</t>
  </si>
  <si>
    <t>NOVA UNIAO-RO</t>
  </si>
  <si>
    <t>NOVA VENECIA-ES</t>
  </si>
  <si>
    <t>NOVA VENEZA-GO</t>
  </si>
  <si>
    <t>NOVA VENEZA-SC</t>
  </si>
  <si>
    <t>NOVA VICOSA-BA</t>
  </si>
  <si>
    <t>NOVA XAVANTINA-MT</t>
  </si>
  <si>
    <t>NOVAIS-SP</t>
  </si>
  <si>
    <t>NOVO ACORDO-TO</t>
  </si>
  <si>
    <t>NOVO AIRAO-AM</t>
  </si>
  <si>
    <t>NOVO ALEGRE-TO</t>
  </si>
  <si>
    <t>NOVO ARIPUANA-AM</t>
  </si>
  <si>
    <t>NOVO BARREIRO-RS</t>
  </si>
  <si>
    <t>NOVO BRASIL-GO</t>
  </si>
  <si>
    <t>NOVO CABRAIS-RS</t>
  </si>
  <si>
    <t>NOVO CRUZEIRO-MG</t>
  </si>
  <si>
    <t>NOVO GAMA-GO</t>
  </si>
  <si>
    <t>NOVO HAMBURGO-RS</t>
  </si>
  <si>
    <t>NOVO HORIZONTE-BA</t>
  </si>
  <si>
    <t>NOVO HORIZONTE-SC</t>
  </si>
  <si>
    <t>NOVO HORIZONTE-SP</t>
  </si>
  <si>
    <t>NOVO HORIZONTE DO NORTE-MT</t>
  </si>
  <si>
    <t>NOVO HORIZONTE DO OESTE-RO</t>
  </si>
  <si>
    <t>NOVO HORIZONTE DO SUL-MS</t>
  </si>
  <si>
    <t>NOVO ITACOLOMI-PR</t>
  </si>
  <si>
    <t>NOVO JARDIM-TO</t>
  </si>
  <si>
    <t>NOVO LINO-AL</t>
  </si>
  <si>
    <t>NOVO MACHADO-RS</t>
  </si>
  <si>
    <t>NOVO MUNDO-MT</t>
  </si>
  <si>
    <t>NOVO ORIENTE-CE</t>
  </si>
  <si>
    <t>NOVO ORIENTE DE MINAS-MG</t>
  </si>
  <si>
    <t>NOVO ORIENTE DO PIAUI-PI</t>
  </si>
  <si>
    <t>NOVO PLANALTO-GO</t>
  </si>
  <si>
    <t>NOVO PROGRESSO-PA</t>
  </si>
  <si>
    <t>NOVO REPARTIMENTO-PA</t>
  </si>
  <si>
    <t>NOVO SANTO ANTONIO-MT</t>
  </si>
  <si>
    <t>NOVO SANTO ANTONIO-PI</t>
  </si>
  <si>
    <t>NOVO SAO JOAQUIM-MT</t>
  </si>
  <si>
    <t>NOVO TIRADENTES-RS</t>
  </si>
  <si>
    <t>NOVO TRIUNFO-BA</t>
  </si>
  <si>
    <t>NOVO XINGU-RS</t>
  </si>
  <si>
    <t>NOVORIZONTE-MG</t>
  </si>
  <si>
    <t>NUPORANGA-SP</t>
  </si>
  <si>
    <t>OBIDOS-PA</t>
  </si>
  <si>
    <t>OCARA-CE</t>
  </si>
  <si>
    <t>OCAUCU-SP</t>
  </si>
  <si>
    <t>OEIRAS-PI</t>
  </si>
  <si>
    <t>OEIRAS DO PARA-PA</t>
  </si>
  <si>
    <t>OIAPOQUE-AP</t>
  </si>
  <si>
    <t>OLARIA-MG</t>
  </si>
  <si>
    <t>OLEO-SP</t>
  </si>
  <si>
    <t>OLHO D'AGUA-PB</t>
  </si>
  <si>
    <t>OLHO D'AGUA DAS CUNHAS-MA</t>
  </si>
  <si>
    <t>OLHO D'AGUA DAS FLORES-AL</t>
  </si>
  <si>
    <t>OLHO D'AGUA DO BORGES-RN</t>
  </si>
  <si>
    <t>OLHO D'AGUA DO CASADO-AL</t>
  </si>
  <si>
    <t>OLHO D'AGUA DO PIAUI-PI</t>
  </si>
  <si>
    <t>OLHO D'AGUA GRANDE-AL</t>
  </si>
  <si>
    <t>OLHOS-D'AGUA-MG</t>
  </si>
  <si>
    <t xml:space="preserve">OMNICOTTON </t>
  </si>
  <si>
    <t>OLIMPIA-SP</t>
  </si>
  <si>
    <t xml:space="preserve">PICCININ </t>
  </si>
  <si>
    <t>OLIMPIO NORONHA-MG</t>
  </si>
  <si>
    <t>SCHEFFER</t>
  </si>
  <si>
    <t>OLINDA-PE</t>
  </si>
  <si>
    <t>SCHENKEL</t>
  </si>
  <si>
    <t>OLINDA NOVA DO MARANHAO-MA</t>
  </si>
  <si>
    <t xml:space="preserve">SLC </t>
  </si>
  <si>
    <t>OLINDINA-BA</t>
  </si>
  <si>
    <t>OLIVEDOS-PB</t>
  </si>
  <si>
    <t>OLIVEIRA-MG</t>
  </si>
  <si>
    <t>OLIVEIRA DE FATIMA-TO</t>
  </si>
  <si>
    <t>OLIVEIRA DOS BREJINHOS-BA</t>
  </si>
  <si>
    <t>OLIVEIRA FORTES-MG</t>
  </si>
  <si>
    <t>OLIVENCA-AL</t>
  </si>
  <si>
    <t>ONCA DE PITANGUI-MG</t>
  </si>
  <si>
    <t>ONDA VERDE-SP</t>
  </si>
  <si>
    <t>ORATORIOS-MG</t>
  </si>
  <si>
    <t>ORIENTE-SP</t>
  </si>
  <si>
    <t>ORINDIUVA-SP</t>
  </si>
  <si>
    <t>ORIXIMINA-PA</t>
  </si>
  <si>
    <t>ORIZANIA-MG</t>
  </si>
  <si>
    <t>ORIZONA-GO</t>
  </si>
  <si>
    <t>ORLANDIA-SP</t>
  </si>
  <si>
    <t>ORLEANS-SC</t>
  </si>
  <si>
    <t>OROBO-PE</t>
  </si>
  <si>
    <t>OROCO-PE</t>
  </si>
  <si>
    <t>OROS-CE</t>
  </si>
  <si>
    <t>ORTIGUEIRA-PR</t>
  </si>
  <si>
    <t>OSASCO-SP</t>
  </si>
  <si>
    <t>OSCAR BRESSANE-SP</t>
  </si>
  <si>
    <t>OSORIO-RS</t>
  </si>
  <si>
    <t>OSVALDO CRUZ-SP</t>
  </si>
  <si>
    <t>OTACILIO COSTA-SC</t>
  </si>
  <si>
    <t>OUREM-PA</t>
  </si>
  <si>
    <t>OURICANGAS-BA</t>
  </si>
  <si>
    <t>OURICURI-PE</t>
  </si>
  <si>
    <t>OURILANDIA DO NORTE-PA</t>
  </si>
  <si>
    <t>OURINHOS-SP</t>
  </si>
  <si>
    <t>OURIZONA-PR</t>
  </si>
  <si>
    <t>OURO-SC</t>
  </si>
  <si>
    <t>OURO BRANCO-AL</t>
  </si>
  <si>
    <t>OURO BRANCO-MG</t>
  </si>
  <si>
    <t>OURO BRANCO-RN</t>
  </si>
  <si>
    <t>OURO FINO-MG</t>
  </si>
  <si>
    <t>OURO PRETO-MG</t>
  </si>
  <si>
    <t>OURO PRETO DO OESTE-RO</t>
  </si>
  <si>
    <t>OURO VELHO-PB</t>
  </si>
  <si>
    <t>OURO VERDE-SC</t>
  </si>
  <si>
    <t>OURO VERDE-SP</t>
  </si>
  <si>
    <t>OURO VERDE DE GOIAS-GO</t>
  </si>
  <si>
    <t>OURO VERDE DE MINAS-MG</t>
  </si>
  <si>
    <t>OURO VERDE DO OESTE-PR</t>
  </si>
  <si>
    <t>OUROESTE-SP</t>
  </si>
  <si>
    <t>OUROLANDIA-BA</t>
  </si>
  <si>
    <t>OUVIDOR-GO</t>
  </si>
  <si>
    <t>PACAEMBU-SP</t>
  </si>
  <si>
    <t>PACAJA-PA</t>
  </si>
  <si>
    <t>PACAJUS-CE</t>
  </si>
  <si>
    <t>PACARAIMA-RR</t>
  </si>
  <si>
    <t>PACATUBA-CE</t>
  </si>
  <si>
    <t>PACATUBA-SE</t>
  </si>
  <si>
    <t>PACO DO LUMIAR-MA</t>
  </si>
  <si>
    <t>PACOTI-CE</t>
  </si>
  <si>
    <t>PACUJA-CE</t>
  </si>
  <si>
    <t>PADRE BERNARDO-GO</t>
  </si>
  <si>
    <t>PADRE CARVALHO-MG</t>
  </si>
  <si>
    <t>PADRE MARCOS-PI</t>
  </si>
  <si>
    <t>PADRE PARAISO-MG</t>
  </si>
  <si>
    <t>PAES LANDIM-PI</t>
  </si>
  <si>
    <t>PAI PEDRO-MG</t>
  </si>
  <si>
    <t>PAIAL-SC</t>
  </si>
  <si>
    <t>PAICANDU-PR</t>
  </si>
  <si>
    <t>PAIM FILHO-RS</t>
  </si>
  <si>
    <t>PAINEIRAS-MG</t>
  </si>
  <si>
    <t>PAINEL-SC</t>
  </si>
  <si>
    <t>PAINS-MG</t>
  </si>
  <si>
    <t>PAIVA-MG</t>
  </si>
  <si>
    <t>PAJEU DO PIAUI-PI</t>
  </si>
  <si>
    <t>PALESTINA-AL</t>
  </si>
  <si>
    <t>PALESTINA-SP</t>
  </si>
  <si>
    <t>PALESTINA DE GOIAS-GO</t>
  </si>
  <si>
    <t>PALESTINA DO PARA-PA</t>
  </si>
  <si>
    <t>PALHANO-CE</t>
  </si>
  <si>
    <t>PALHOCA-SC</t>
  </si>
  <si>
    <t>PALMA-MG</t>
  </si>
  <si>
    <t>PALMA SOLA-SC</t>
  </si>
  <si>
    <t>PALMACIA-CE</t>
  </si>
  <si>
    <t>PALMARES-PE</t>
  </si>
  <si>
    <t>PALMARES DO SUL-RS</t>
  </si>
  <si>
    <t>PALMARES PAULISTA-SP</t>
  </si>
  <si>
    <t>PALMAS-PR</t>
  </si>
  <si>
    <t>PALMAS-TO</t>
  </si>
  <si>
    <t>PALMAS DE MONTE ALTO-BA</t>
  </si>
  <si>
    <t>PALMEIRA-PR</t>
  </si>
  <si>
    <t>PALMEIRA-SC</t>
  </si>
  <si>
    <t>PALMEIRA DAS MISSOES-RS</t>
  </si>
  <si>
    <t>PALMEIRA DO PIAUI-PI</t>
  </si>
  <si>
    <t>PALMEIRA D'OESTE-SP</t>
  </si>
  <si>
    <t>PALMEIRA DOS INDIOS-AL</t>
  </si>
  <si>
    <t>PALMEIRAIS-PI</t>
  </si>
  <si>
    <t>PALMEIRANDIA-MA</t>
  </si>
  <si>
    <t>PALMEIRANTE-TO</t>
  </si>
  <si>
    <t>PALMEIRAS-BA</t>
  </si>
  <si>
    <t>PALMEIRAS DE GOIAS-GO</t>
  </si>
  <si>
    <t>PALMEIRAS DO TOCANTINS-TO</t>
  </si>
  <si>
    <t>PALMEIRINA-PE</t>
  </si>
  <si>
    <t>PALMEIROPOLIS-TO</t>
  </si>
  <si>
    <t>PALMELO-GO</t>
  </si>
  <si>
    <t>PALMINOPOLIS-GO</t>
  </si>
  <si>
    <t>PALMITAL-PR</t>
  </si>
  <si>
    <t>PALMITAL-SP</t>
  </si>
  <si>
    <t>PALMITINHO-RS</t>
  </si>
  <si>
    <t>PALMITOS-SC</t>
  </si>
  <si>
    <t>PALMOPOLIS-MG</t>
  </si>
  <si>
    <t>PALOTINA-PR</t>
  </si>
  <si>
    <t>PANAMA-GO</t>
  </si>
  <si>
    <t>PANAMBI-RS</t>
  </si>
  <si>
    <t>PANCAS-ES</t>
  </si>
  <si>
    <t>PANELAS-PE</t>
  </si>
  <si>
    <t>PANORAMA-SP</t>
  </si>
  <si>
    <t>PANTANO GRANDE-RS</t>
  </si>
  <si>
    <t>PAO DE ACUCAR-AL</t>
  </si>
  <si>
    <t>PAPAGAIOS-MG</t>
  </si>
  <si>
    <t>PAPANDUVA-SC</t>
  </si>
  <si>
    <t>PAQUETA-PI</t>
  </si>
  <si>
    <t>PARA DE MINAS-MG</t>
  </si>
  <si>
    <t>PARACAMBI-RJ</t>
  </si>
  <si>
    <t>PARACATU-MG</t>
  </si>
  <si>
    <t>PARACURU-CE</t>
  </si>
  <si>
    <t>PARAGOMINAS-PA</t>
  </si>
  <si>
    <t>PARAGUACU-MG</t>
  </si>
  <si>
    <t>PARAGUACU PAULISTA-SP</t>
  </si>
  <si>
    <t>PARAI-RS</t>
  </si>
  <si>
    <t>PARAIBA DO SUL-RJ</t>
  </si>
  <si>
    <t>PARAIBANO-MA</t>
  </si>
  <si>
    <t>PARAIBUNA-SP</t>
  </si>
  <si>
    <t>PARAIPABA-CE</t>
  </si>
  <si>
    <t>PARAISO-SC</t>
  </si>
  <si>
    <t>PARAISO-SP</t>
  </si>
  <si>
    <t>PARAISO DAS AGUAS-MS</t>
  </si>
  <si>
    <t>PARAISO DO NORTE-PR</t>
  </si>
  <si>
    <t>PARAISO DO SUL-RS</t>
  </si>
  <si>
    <t>PARAISO DO TOCANTINS-TO</t>
  </si>
  <si>
    <t>PARAISOPOLIS-MG</t>
  </si>
  <si>
    <t>PARAMBU-CE</t>
  </si>
  <si>
    <t>PARAMIRIM-BA</t>
  </si>
  <si>
    <t>PARAMOTI-CE</t>
  </si>
  <si>
    <t>PARANA-RN</t>
  </si>
  <si>
    <t>PARANA-TO</t>
  </si>
  <si>
    <t>PARANACITY-PR</t>
  </si>
  <si>
    <t>PARANAGUA-PR</t>
  </si>
  <si>
    <t>PARANAIBA-MS</t>
  </si>
  <si>
    <t>PARANAIGUARA-GO</t>
  </si>
  <si>
    <t>PARANAITA-MT</t>
  </si>
  <si>
    <t>PARANAPANEMA-SP</t>
  </si>
  <si>
    <t>PARANAPOEMA-PR</t>
  </si>
  <si>
    <t>PARANAPUA-SP</t>
  </si>
  <si>
    <t>PARANATAMA-PE</t>
  </si>
  <si>
    <t>PARANATINGA-MT</t>
  </si>
  <si>
    <t>PARANAVAI-PR</t>
  </si>
  <si>
    <t>PARANHOS-MS</t>
  </si>
  <si>
    <t>PARAOPEBA-MG</t>
  </si>
  <si>
    <t>PARAPUA-SP</t>
  </si>
  <si>
    <t>PARARI-PB</t>
  </si>
  <si>
    <t>PARATINGA-BA</t>
  </si>
  <si>
    <t>PARATY-RJ</t>
  </si>
  <si>
    <t>PARAU-RN</t>
  </si>
  <si>
    <t>PARAUAPEBAS-PA</t>
  </si>
  <si>
    <t>PARAUNA-GO</t>
  </si>
  <si>
    <t>PARAZINHO-RN</t>
  </si>
  <si>
    <t>PARDINHO-SP</t>
  </si>
  <si>
    <t>PARECI NOVO-RS</t>
  </si>
  <si>
    <t>PARECIS-RO</t>
  </si>
  <si>
    <t>PARELHAS-RN</t>
  </si>
  <si>
    <t>PARICONHA-AL</t>
  </si>
  <si>
    <t>PARINTINS-AM</t>
  </si>
  <si>
    <t>PARIPIRANGA-BA</t>
  </si>
  <si>
    <t>PARIPUEIRA-AL</t>
  </si>
  <si>
    <t>PARIQUERA-ACU-SP</t>
  </si>
  <si>
    <t>PARISI-SP</t>
  </si>
  <si>
    <t>PARNAGUA-PI</t>
  </si>
  <si>
    <t>PARNAIBA-PI</t>
  </si>
  <si>
    <t>PARNAMIRIM-PE</t>
  </si>
  <si>
    <t>PARNAMIRIM-RN</t>
  </si>
  <si>
    <t>PARNARAMA-MA</t>
  </si>
  <si>
    <t>PAROBE-RS</t>
  </si>
  <si>
    <t>PASSA E FICA-RN</t>
  </si>
  <si>
    <t>PASSA QUATRO-MG</t>
  </si>
  <si>
    <t>PASSA SETE-RS</t>
  </si>
  <si>
    <t>PASSA TEMPO-MG</t>
  </si>
  <si>
    <t>PASSA VINTE-MG</t>
  </si>
  <si>
    <t>PASSABEM-MG</t>
  </si>
  <si>
    <t>PASSAGEM-PB</t>
  </si>
  <si>
    <t>PASSAGEM-RN</t>
  </si>
  <si>
    <t>PASSAGEM FRANCA-MA</t>
  </si>
  <si>
    <t>PASSAGEM FRANCA DO PIAUI-PI</t>
  </si>
  <si>
    <t>PASSIRA-PE</t>
  </si>
  <si>
    <t>PASSO DE CAMARAGIBE-AL</t>
  </si>
  <si>
    <t>PASSO DE TORRES-SC</t>
  </si>
  <si>
    <t>PASSO DO SOBRADO-RS</t>
  </si>
  <si>
    <t>PASSO FUNDO-RS</t>
  </si>
  <si>
    <t>PASSOS-MG</t>
  </si>
  <si>
    <t>PASSOS MAIA-SC</t>
  </si>
  <si>
    <t>PASTOS BONS-MA</t>
  </si>
  <si>
    <t>PATIS-MG</t>
  </si>
  <si>
    <t>PATO BRAGADO-PR</t>
  </si>
  <si>
    <t>PATO BRANCO-PR</t>
  </si>
  <si>
    <t>PATOS-PB</t>
  </si>
  <si>
    <t>PATOS DE MINAS-MG</t>
  </si>
  <si>
    <t>PATOS DO PIAUI-PI</t>
  </si>
  <si>
    <t>PATROCINIO-MG</t>
  </si>
  <si>
    <t>PATROCINIO DO MURIAE-MG</t>
  </si>
  <si>
    <t>PATROCINIO PAULISTA-SP</t>
  </si>
  <si>
    <t>PATU-RN</t>
  </si>
  <si>
    <t>PATY DO ALFERES-RJ</t>
  </si>
  <si>
    <t>PAU BRASIL-BA</t>
  </si>
  <si>
    <t>PAU D'ARCO-PA</t>
  </si>
  <si>
    <t>PAU D'ARCO-TO</t>
  </si>
  <si>
    <t>PAU D'ARCO DO PIAUI-PI</t>
  </si>
  <si>
    <t>PAU DOS FERROS-RN</t>
  </si>
  <si>
    <t>PAUDALHO-PE</t>
  </si>
  <si>
    <t>PAUINI-AM</t>
  </si>
  <si>
    <t>PAULA CANDIDO-MG</t>
  </si>
  <si>
    <t>PAULA FREITAS-PR</t>
  </si>
  <si>
    <t>PAULICEIA-SP</t>
  </si>
  <si>
    <t>PAULINIA-SP</t>
  </si>
  <si>
    <t>PAULINO NEVES-MA</t>
  </si>
  <si>
    <t>PAULISTA-PB</t>
  </si>
  <si>
    <t>PAULISTA-PE</t>
  </si>
  <si>
    <t>PAULISTANA-PI</t>
  </si>
  <si>
    <t>PAULISTANIA-SP</t>
  </si>
  <si>
    <t>PAULISTAS-MG</t>
  </si>
  <si>
    <t>PAULO AFONSO-BA</t>
  </si>
  <si>
    <t>PAULO BENTO-RS</t>
  </si>
  <si>
    <t>PAULO DE FARIA-SP</t>
  </si>
  <si>
    <t>PAULO FRONTIN-PR</t>
  </si>
  <si>
    <t>PAULO JACINTO-AL</t>
  </si>
  <si>
    <t>PAULO LOPES-SC</t>
  </si>
  <si>
    <t>PAULO RAMOS-MA</t>
  </si>
  <si>
    <t>PAVAO-MG</t>
  </si>
  <si>
    <t>PAVERAMA-RS</t>
  </si>
  <si>
    <t>PAVUSSU-PI</t>
  </si>
  <si>
    <t>PE DE SERRA-BA</t>
  </si>
  <si>
    <t>PEABIRU-PR</t>
  </si>
  <si>
    <t>PECANHA-MG</t>
  </si>
  <si>
    <t>PEDERNEIRAS-SP</t>
  </si>
  <si>
    <t>PEDRA-PE</t>
  </si>
  <si>
    <t>PEDRA AZUL-MG</t>
  </si>
  <si>
    <t>PEDRA BELA-SP</t>
  </si>
  <si>
    <t>PEDRA BONITA-MG</t>
  </si>
  <si>
    <t>PEDRA BRANCA-CE</t>
  </si>
  <si>
    <t>PEDRA BRANCA-PB</t>
  </si>
  <si>
    <t>PEDRA BRANCA DO AMAPARI-AP</t>
  </si>
  <si>
    <t>PEDRA DO ANTA-MG</t>
  </si>
  <si>
    <t>PEDRA DO INDAIA-MG</t>
  </si>
  <si>
    <t>PEDRA DOURADA-MG</t>
  </si>
  <si>
    <t>PEDRA GRANDE-RN</t>
  </si>
  <si>
    <t>PEDRA LAVRADA-PB</t>
  </si>
  <si>
    <t>PEDRA MOLE-SE</t>
  </si>
  <si>
    <t>PEDRA PRETA-MT</t>
  </si>
  <si>
    <t>PEDRA PRETA-RN</t>
  </si>
  <si>
    <t>PEDRALVA-MG</t>
  </si>
  <si>
    <t>PEDRANOPOLIS-SP</t>
  </si>
  <si>
    <t>PEDRAO-BA</t>
  </si>
  <si>
    <t>PEDRAS ALTAS-RS</t>
  </si>
  <si>
    <t>PEDRAS DE FOGO-PB</t>
  </si>
  <si>
    <t>PEDRAS DE MARIA DA CRUZ-MG</t>
  </si>
  <si>
    <t>PEDRAS GRANDES-SC</t>
  </si>
  <si>
    <t>PEDREGULHO-SP</t>
  </si>
  <si>
    <t>PEDREIRA-SP</t>
  </si>
  <si>
    <t>PEDREIRAS-MA</t>
  </si>
  <si>
    <t>PEDRINHAS-SE</t>
  </si>
  <si>
    <t>PEDRINHAS PAULISTA-SP</t>
  </si>
  <si>
    <t>PEDRINOPOLIS-MG</t>
  </si>
  <si>
    <t>PEDRO AFONSO-TO</t>
  </si>
  <si>
    <t>PEDRO ALEXANDRE-BA</t>
  </si>
  <si>
    <t>PEDRO AVELINO-RN</t>
  </si>
  <si>
    <t>PEDRO CANARIO-ES</t>
  </si>
  <si>
    <t>PEDRO DE TOLEDO-SP</t>
  </si>
  <si>
    <t>PEDRO DO ROSARIO-MA</t>
  </si>
  <si>
    <t>PEDRO GOMES-MS</t>
  </si>
  <si>
    <t>PEDRO II-PI</t>
  </si>
  <si>
    <t>PEDRO LAURENTINO-PI</t>
  </si>
  <si>
    <t>PEDRO LEOPOLDO-MG</t>
  </si>
  <si>
    <t>PEDRO OSORIO-RS</t>
  </si>
  <si>
    <t>PEDRO REGIS-PB</t>
  </si>
  <si>
    <t>PEDRO TEIXEIRA-MG</t>
  </si>
  <si>
    <t>PEDRO VELHO-RN</t>
  </si>
  <si>
    <t>PEIXE-TO</t>
  </si>
  <si>
    <t>PEIXE-BOI-PA</t>
  </si>
  <si>
    <t>PEIXOTO DE AZEVEDO-MT</t>
  </si>
  <si>
    <t>PEJUCARA-RS</t>
  </si>
  <si>
    <t>PELOTAS-RS</t>
  </si>
  <si>
    <t>PENAFORTE-CE</t>
  </si>
  <si>
    <t>PENALVA-MA</t>
  </si>
  <si>
    <t>PENAPOLIS-SP</t>
  </si>
  <si>
    <t>PENDENCIAS-RN</t>
  </si>
  <si>
    <t>PENEDO-AL</t>
  </si>
  <si>
    <t>PENHA-SC</t>
  </si>
  <si>
    <t>PENTECOSTE-CE</t>
  </si>
  <si>
    <t>PEQUERI-MG</t>
  </si>
  <si>
    <t>PEQUI-MG</t>
  </si>
  <si>
    <t>PEQUIZEIRO-TO</t>
  </si>
  <si>
    <t>PERDIGAO-MG</t>
  </si>
  <si>
    <t>PERDIZES-MG</t>
  </si>
  <si>
    <t>PERDOES-MG</t>
  </si>
  <si>
    <t>PEREIRA BARRETO-SP</t>
  </si>
  <si>
    <t>PEREIRAS-SP</t>
  </si>
  <si>
    <t>PEREIRO-CE</t>
  </si>
  <si>
    <t>PERI MIRIM-MA</t>
  </si>
  <si>
    <t>PERIQUITO-MG</t>
  </si>
  <si>
    <t>PERITIBA-SC</t>
  </si>
  <si>
    <t>PERITORO-MA</t>
  </si>
  <si>
    <t>PEROBAL-PR</t>
  </si>
  <si>
    <t>PEROLA-PR</t>
  </si>
  <si>
    <t>PEROLA D'OESTE-PR</t>
  </si>
  <si>
    <t>PEROLANDIA-GO</t>
  </si>
  <si>
    <t>PERUIBE-SP</t>
  </si>
  <si>
    <t>PESCADOR-MG</t>
  </si>
  <si>
    <t>PESCARIA BRAVA-SC</t>
  </si>
  <si>
    <t>PESQUEIRA-PE</t>
  </si>
  <si>
    <t>PETROLANDIA-PE</t>
  </si>
  <si>
    <t>PETROLANDIA-SC</t>
  </si>
  <si>
    <t>PETROLINA-PE</t>
  </si>
  <si>
    <t>PETROLINA DE GOIAS-GO</t>
  </si>
  <si>
    <t>PETROPOLIS-RJ</t>
  </si>
  <si>
    <t>PIACABUCU-AL</t>
  </si>
  <si>
    <t>PIACATU-SP</t>
  </si>
  <si>
    <t>PIANCO-PB</t>
  </si>
  <si>
    <t>PIATA-BA</t>
  </si>
  <si>
    <t>PIAU-MG</t>
  </si>
  <si>
    <t>PICADA CAFE-RS</t>
  </si>
  <si>
    <t>PICARRA-PA</t>
  </si>
  <si>
    <t>PICOS-PI</t>
  </si>
  <si>
    <t>PICUI-PB</t>
  </si>
  <si>
    <t>PIEDADE-SP</t>
  </si>
  <si>
    <t>PIEDADE DE CARATINGA-MG</t>
  </si>
  <si>
    <t>PIEDADE DE PONTE NOVA-MG</t>
  </si>
  <si>
    <t>PIEDADE DO RIO GRANDE-MG</t>
  </si>
  <si>
    <t>PIEDADE DOS GERAIS-MG</t>
  </si>
  <si>
    <t>PIEN-PR</t>
  </si>
  <si>
    <t>PILAO ARCADO-BA</t>
  </si>
  <si>
    <t>PILAR-AL</t>
  </si>
  <si>
    <t>PILAR-PB</t>
  </si>
  <si>
    <t>PILAR DE GOIAS-GO</t>
  </si>
  <si>
    <t>PILAR DO SUL-SP</t>
  </si>
  <si>
    <t>PILOES-PB</t>
  </si>
  <si>
    <t>PILOES-RN</t>
  </si>
  <si>
    <t>PILOEZINHOS-PB</t>
  </si>
  <si>
    <t>PIMENTA-MG</t>
  </si>
  <si>
    <t>PIMENTA BUENO-RO</t>
  </si>
  <si>
    <t>PIMENTEIRAS-PI</t>
  </si>
  <si>
    <t>PIMENTEIRAS DO OESTE-RO</t>
  </si>
  <si>
    <t>PINDAI-BA</t>
  </si>
  <si>
    <t>PINDAMONHANGABA-SP</t>
  </si>
  <si>
    <t>PINDARE-MIRIM-MA</t>
  </si>
  <si>
    <t>PINDOBA-AL</t>
  </si>
  <si>
    <t>PINDOBACU-BA</t>
  </si>
  <si>
    <t>PINDORAMA-SP</t>
  </si>
  <si>
    <t>PINDORAMA DO TOCANTINS-TO</t>
  </si>
  <si>
    <t>PINDORETAMA-CE</t>
  </si>
  <si>
    <t>PINGO-D'AGUA-MG</t>
  </si>
  <si>
    <t>PINHAIS-PR</t>
  </si>
  <si>
    <t>PINHAL-RS</t>
  </si>
  <si>
    <t>PINHAL DA SERRA-RS</t>
  </si>
  <si>
    <t>PINHAL DE SAO BENTO-PR</t>
  </si>
  <si>
    <t>PINHAL GRANDE-RS</t>
  </si>
  <si>
    <t>PINHALAO-PR</t>
  </si>
  <si>
    <t>PINHALZINHO-SC</t>
  </si>
  <si>
    <t>PINHALZINHO-SP</t>
  </si>
  <si>
    <t>PINHAO-PR</t>
  </si>
  <si>
    <t>PINHAO-SE</t>
  </si>
  <si>
    <t>PINHEIRAL-RJ</t>
  </si>
  <si>
    <t>PINHEIRINHO DO VALE-RS</t>
  </si>
  <si>
    <t>PINHEIRO-MA</t>
  </si>
  <si>
    <t>PINHEIRO MACHADO-RS</t>
  </si>
  <si>
    <t>PINHEIRO PRETO-SC</t>
  </si>
  <si>
    <t>PINHEIROS-ES</t>
  </si>
  <si>
    <t>PINTADAS-BA</t>
  </si>
  <si>
    <t>PINTO BANDEIRA-RS</t>
  </si>
  <si>
    <t>PINTOPOLIS-MG</t>
  </si>
  <si>
    <t>PIO IX-PI</t>
  </si>
  <si>
    <t>PIO XII-MA</t>
  </si>
  <si>
    <t>PIQUEROBI-SP</t>
  </si>
  <si>
    <t>PIQUET CARNEIRO-CE</t>
  </si>
  <si>
    <t>PIQUETE-SP</t>
  </si>
  <si>
    <t>PIRACAIA-SP</t>
  </si>
  <si>
    <t>PIRACANJUBA-GO</t>
  </si>
  <si>
    <t>PIRACEMA-MG</t>
  </si>
  <si>
    <t>PIRACICABA-SP</t>
  </si>
  <si>
    <t>PIRACURUCA-PI</t>
  </si>
  <si>
    <t>PIRAI-RJ</t>
  </si>
  <si>
    <t>PIRAI DO NORTE-BA</t>
  </si>
  <si>
    <t>PIRAI DO SUL-PR</t>
  </si>
  <si>
    <t>PIRAJU-SP</t>
  </si>
  <si>
    <t>PIRAJUBA-MG</t>
  </si>
  <si>
    <t>PIRAJUI-SP</t>
  </si>
  <si>
    <t>PIRAMBU-SE</t>
  </si>
  <si>
    <t>PIRANGA-MG</t>
  </si>
  <si>
    <t>PIRANGI-SP</t>
  </si>
  <si>
    <t>PIRANGUCU-MG</t>
  </si>
  <si>
    <t>PIRANGUINHO-MG</t>
  </si>
  <si>
    <t>PIRANHAS-AL</t>
  </si>
  <si>
    <t>PIRANHAS-GO</t>
  </si>
  <si>
    <t>PIRAPEMAS-MA</t>
  </si>
  <si>
    <t>PIRAPETINGA-MG</t>
  </si>
  <si>
    <t>PIRAPO-RS</t>
  </si>
  <si>
    <t>PIRAPORA-MG</t>
  </si>
  <si>
    <t>PIRAPORA DO BOM JESUS-SP</t>
  </si>
  <si>
    <t>PIRAPOZINHO-SP</t>
  </si>
  <si>
    <t>PIRAQUARA-PR</t>
  </si>
  <si>
    <t>PIRAQUE-TO</t>
  </si>
  <si>
    <t>PIRASSUNUNGA-SP</t>
  </si>
  <si>
    <t>PIRATINI-RS</t>
  </si>
  <si>
    <t>PIRATININGA-SP</t>
  </si>
  <si>
    <t>PIRATUBA-SC</t>
  </si>
  <si>
    <t>PIRAUBA-MG</t>
  </si>
  <si>
    <t>PIRENOPOLIS-GO</t>
  </si>
  <si>
    <t>PIRES DO RIO-GO</t>
  </si>
  <si>
    <t>PIRES FERREIRA-CE</t>
  </si>
  <si>
    <t>PIRIPA-BA</t>
  </si>
  <si>
    <t>PIRIPIRI-PI</t>
  </si>
  <si>
    <t>PIRITIBA-BA</t>
  </si>
  <si>
    <t>PIRPIRITUBA-PB</t>
  </si>
  <si>
    <t>PITANGA-PR</t>
  </si>
  <si>
    <t>PITANGUEIRAS-PR</t>
  </si>
  <si>
    <t>PITANGUEIRAS-SP</t>
  </si>
  <si>
    <t>PITANGUI-MG</t>
  </si>
  <si>
    <t>PITIMBU-PB</t>
  </si>
  <si>
    <t>PIUM-TO</t>
  </si>
  <si>
    <t>PIUMA-ES</t>
  </si>
  <si>
    <t>PIUMHI-MG</t>
  </si>
  <si>
    <t>PLACAS-PA</t>
  </si>
  <si>
    <t>PLACIDO DE CASTRO-AC</t>
  </si>
  <si>
    <t>PLANALTINA-GO</t>
  </si>
  <si>
    <t>PLANALTINA DO PARANA-PR</t>
  </si>
  <si>
    <t>PLANALTINO-BA</t>
  </si>
  <si>
    <t>PLANALTO-BA</t>
  </si>
  <si>
    <t>PLANALTO-PR</t>
  </si>
  <si>
    <t>PLANALTO-RS</t>
  </si>
  <si>
    <t>PLANALTO-SP</t>
  </si>
  <si>
    <t>PLANALTO ALEGRE-SC</t>
  </si>
  <si>
    <t>PLANALTO DA SERRA-MT</t>
  </si>
  <si>
    <t>PLANURA-MG</t>
  </si>
  <si>
    <t>PLATINA-SP</t>
  </si>
  <si>
    <t>POA-SP</t>
  </si>
  <si>
    <t>POCAO-PE</t>
  </si>
  <si>
    <t>POCAO DE PEDRAS-MA</t>
  </si>
  <si>
    <t>POCINHOS-PB</t>
  </si>
  <si>
    <t>POCO BRANCO-RN</t>
  </si>
  <si>
    <t>POCO DANTAS-PB</t>
  </si>
  <si>
    <t>POCO DAS ANTAS-RS</t>
  </si>
  <si>
    <t>POCO DAS TRINCHEIRAS-AL</t>
  </si>
  <si>
    <t>POCO DE JOSE DE MOURA-PB</t>
  </si>
  <si>
    <t>POCO FUNDO-MG</t>
  </si>
  <si>
    <t>POCO REDONDO-SE</t>
  </si>
  <si>
    <t>POCO VERDE-SE</t>
  </si>
  <si>
    <t>POCOES-BA</t>
  </si>
  <si>
    <t>POCONE-MT</t>
  </si>
  <si>
    <t>POCOS DE CALDAS-MG</t>
  </si>
  <si>
    <t>POCRANE-MG</t>
  </si>
  <si>
    <t>POJUCA-BA</t>
  </si>
  <si>
    <t>POLONI-SP</t>
  </si>
  <si>
    <t>POMBAL-PB</t>
  </si>
  <si>
    <t>POMBOS-PE</t>
  </si>
  <si>
    <t>POMERODE-SC</t>
  </si>
  <si>
    <t>POMPEIA-SP</t>
  </si>
  <si>
    <t>POMPEU-MG</t>
  </si>
  <si>
    <t>PONGAI-SP</t>
  </si>
  <si>
    <t>PONTA DE PEDRAS-PA</t>
  </si>
  <si>
    <t>PONTA GROSSA-PR</t>
  </si>
  <si>
    <t>PONTA PORA-MS</t>
  </si>
  <si>
    <t>PONTAL-SP</t>
  </si>
  <si>
    <t>PONTAL DO ARAGUAIA-MT</t>
  </si>
  <si>
    <t>PONTAL DO PARANA-PR</t>
  </si>
  <si>
    <t>PONTALINA-GO</t>
  </si>
  <si>
    <t>PONTALINDA-SP</t>
  </si>
  <si>
    <t>PONTAO-RS</t>
  </si>
  <si>
    <t>PONTE ALTA-SC</t>
  </si>
  <si>
    <t>PONTE ALTA DO BOM JESUS-TO</t>
  </si>
  <si>
    <t>PONTE ALTA DO NORTE-SC</t>
  </si>
  <si>
    <t>PONTE ALTA DO TOCANTINS-TO</t>
  </si>
  <si>
    <t>PONTE BRANCA-MT</t>
  </si>
  <si>
    <t>PONTE NOVA-MG</t>
  </si>
  <si>
    <t>PONTE PRETA-RS</t>
  </si>
  <si>
    <t>PONTE SERRADA-SC</t>
  </si>
  <si>
    <t>PONTES E LACERDA-MT</t>
  </si>
  <si>
    <t>PONTES GESTAL-SP</t>
  </si>
  <si>
    <t>PONTO BELO-ES</t>
  </si>
  <si>
    <t>PONTO CHIQUE-MG</t>
  </si>
  <si>
    <t>PONTO DOS VOLANTES-MG</t>
  </si>
  <si>
    <t>PONTO NOVO-BA</t>
  </si>
  <si>
    <t>POPULINA-SP</t>
  </si>
  <si>
    <t>PORANGA-CE</t>
  </si>
  <si>
    <t>PORANGABA-SP</t>
  </si>
  <si>
    <t>PORANGATU-GO</t>
  </si>
  <si>
    <t>PORCIUNCULA-RJ</t>
  </si>
  <si>
    <t>PORECATU-PR</t>
  </si>
  <si>
    <t>PORTALEGRE-RN</t>
  </si>
  <si>
    <t>PORTAO-RS</t>
  </si>
  <si>
    <t>PORTEIRAO-GO</t>
  </si>
  <si>
    <t>PORTEIRAS-CE</t>
  </si>
  <si>
    <t>PORTEIRINHA-MG</t>
  </si>
  <si>
    <t>PORTEL-PA</t>
  </si>
  <si>
    <t>PORTELANDIA-GO</t>
  </si>
  <si>
    <t>PORTO-PI</t>
  </si>
  <si>
    <t>PORTO ACRE-AC</t>
  </si>
  <si>
    <t>PORTO ALEGRE-RS</t>
  </si>
  <si>
    <t>PORTO ALEGRE DO NORTE-MT</t>
  </si>
  <si>
    <t>PORTO ALEGRE DO PIAUI-PI</t>
  </si>
  <si>
    <t>PORTO ALEGRE DO TOCANTINS-TO</t>
  </si>
  <si>
    <t>PORTO AMAZONAS-PR</t>
  </si>
  <si>
    <t>PORTO BARREIRO-PR</t>
  </si>
  <si>
    <t>PORTO BELO-SC</t>
  </si>
  <si>
    <t>PORTO CALVO-AL</t>
  </si>
  <si>
    <t>PORTO DA FOLHA-SE</t>
  </si>
  <si>
    <t>PORTO DE MOZ-PA</t>
  </si>
  <si>
    <t>PORTO DE PEDRAS-AL</t>
  </si>
  <si>
    <t>PORTO DO MANGUE-RN</t>
  </si>
  <si>
    <t>PORTO DOS GAUCHOS-MT</t>
  </si>
  <si>
    <t>PORTO ESPERIDIAO-MT</t>
  </si>
  <si>
    <t>PORTO ESTRELA-MT</t>
  </si>
  <si>
    <t>PORTO FELIZ-SP</t>
  </si>
  <si>
    <t>PORTO FERREIRA-SP</t>
  </si>
  <si>
    <t>PORTO FIRME-MG</t>
  </si>
  <si>
    <t>PORTO FRANCO-MA</t>
  </si>
  <si>
    <t>PORTO GRANDE-AP</t>
  </si>
  <si>
    <t>PORTO LUCENA-RS</t>
  </si>
  <si>
    <t>PORTO MAUA-RS</t>
  </si>
  <si>
    <t>PORTO MURTINHO-MS</t>
  </si>
  <si>
    <t>PORTO NACIONAL-TO</t>
  </si>
  <si>
    <t>PORTO REAL-RJ</t>
  </si>
  <si>
    <t>PORTO REAL DO COLEGIO-AL</t>
  </si>
  <si>
    <t>PORTO RICO-PR</t>
  </si>
  <si>
    <t>PORTO RICO DO MARANHAO-MA</t>
  </si>
  <si>
    <t>PORTO SEGURO-BA</t>
  </si>
  <si>
    <t>PORTO UNIAO-SC</t>
  </si>
  <si>
    <t>PORTO VELHO-RO</t>
  </si>
  <si>
    <t>PORTO VERA CRUZ-RS</t>
  </si>
  <si>
    <t>PORTO VITORIA-PR</t>
  </si>
  <si>
    <t>PORTO WALTER-AC</t>
  </si>
  <si>
    <t>PORTO XAVIER-RS</t>
  </si>
  <si>
    <t>POSSE-GO</t>
  </si>
  <si>
    <t>POTE-MG</t>
  </si>
  <si>
    <t>POTENGI-CE</t>
  </si>
  <si>
    <t>POTIM-SP</t>
  </si>
  <si>
    <t>POTIRAGUA-BA</t>
  </si>
  <si>
    <t>POTIRENDABA-SP</t>
  </si>
  <si>
    <t>POTIRETAMA-CE</t>
  </si>
  <si>
    <t>POUSO ALEGRE-MG</t>
  </si>
  <si>
    <t>POUSO ALTO-MG</t>
  </si>
  <si>
    <t>POUSO NOVO-RS</t>
  </si>
  <si>
    <t>POUSO REDONDO-SC</t>
  </si>
  <si>
    <t>POXOREU-MT</t>
  </si>
  <si>
    <t>PRACINHA-SP</t>
  </si>
  <si>
    <t>PRACUUBA-AP</t>
  </si>
  <si>
    <t>PRADO-BA</t>
  </si>
  <si>
    <t>PRADO FERREIRA-PR</t>
  </si>
  <si>
    <t>PRADOPOLIS-SP</t>
  </si>
  <si>
    <t>PRADOS-MG</t>
  </si>
  <si>
    <t>PRAIA GRANDE-SC</t>
  </si>
  <si>
    <t>PRAIA GRANDE-SP</t>
  </si>
  <si>
    <t>PRAIA NORTE-TO</t>
  </si>
  <si>
    <t>PRAINHA-PA</t>
  </si>
  <si>
    <t>PRANCHITA-PR</t>
  </si>
  <si>
    <t>PRATA-MG</t>
  </si>
  <si>
    <t>PRATA-PB</t>
  </si>
  <si>
    <t>PRATA DO PIAUI-PI</t>
  </si>
  <si>
    <t>PRATANIA-SP</t>
  </si>
  <si>
    <t>PRATAPOLIS-MG</t>
  </si>
  <si>
    <t>PRATINHA-MG</t>
  </si>
  <si>
    <t>PRESIDENTE ALVES-SP</t>
  </si>
  <si>
    <t>PRESIDENTE BERNARDES-MG</t>
  </si>
  <si>
    <t>PRESIDENTE BERNARDES-SP</t>
  </si>
  <si>
    <t>PRESIDENTE CASTELLO BRANCO-SC</t>
  </si>
  <si>
    <t>PRESIDENTE CASTELO BRANCO-PR</t>
  </si>
  <si>
    <t>PRESIDENTE DUTRA-BA</t>
  </si>
  <si>
    <t>PRESIDENTE DUTRA-MA</t>
  </si>
  <si>
    <t>PRESIDENTE EPITACIO-SP</t>
  </si>
  <si>
    <t>PRESIDENTE FIGUEIREDO-AM</t>
  </si>
  <si>
    <t>PRESIDENTE GETULIO-SC</t>
  </si>
  <si>
    <t>PRESIDENTE JANIO QUADROS-BA</t>
  </si>
  <si>
    <t>PRESIDENTE JUSCELINO-MA</t>
  </si>
  <si>
    <t>PRESIDENTE JUSCELINO-MG</t>
  </si>
  <si>
    <t>PRESIDENTE KENNEDY-ES</t>
  </si>
  <si>
    <t>PRESIDENTE KENNEDY-TO</t>
  </si>
  <si>
    <t>PRESIDENTE KUBITSCHEK-MG</t>
  </si>
  <si>
    <t>PRESIDENTE LUCENA-RS</t>
  </si>
  <si>
    <t>PRESIDENTE MEDICI-MA</t>
  </si>
  <si>
    <t>PRESIDENTE MEDICI-RO</t>
  </si>
  <si>
    <t>PRESIDENTE NEREU-SC</t>
  </si>
  <si>
    <t>PRESIDENTE OLEGARIO-MG</t>
  </si>
  <si>
    <t>PRESIDENTE PRUDENTE-SP</t>
  </si>
  <si>
    <t>PRESIDENTE SARNEY-MA</t>
  </si>
  <si>
    <t>PRESIDENTE TANCREDO NEVES-BA</t>
  </si>
  <si>
    <t>PRESIDENTE VARGAS-MA</t>
  </si>
  <si>
    <t>PRESIDENTE VENCESLAU-SP</t>
  </si>
  <si>
    <t>PRIMAVERA-PA</t>
  </si>
  <si>
    <t>PRIMAVERA-PE</t>
  </si>
  <si>
    <t>PRIMAVERA DE RONDONIA-RO</t>
  </si>
  <si>
    <t>PRIMAVERA DO LESTE-MT</t>
  </si>
  <si>
    <t>PRIMEIRA CRUZ-MA</t>
  </si>
  <si>
    <t>PRIMEIRO DE MAIO-PR</t>
  </si>
  <si>
    <t>PRINCESA-SC</t>
  </si>
  <si>
    <t>PRINCESA ISABEL-PB</t>
  </si>
  <si>
    <t>PROFESSOR JAMIL-GO</t>
  </si>
  <si>
    <t>PROGRESSO-RS</t>
  </si>
  <si>
    <t>PROMISSAO-SP</t>
  </si>
  <si>
    <t>PROPRIA-SE</t>
  </si>
  <si>
    <t>PROTASIO ALVES-RS</t>
  </si>
  <si>
    <t>PRUDENTE DE MORAIS-MG</t>
  </si>
  <si>
    <t>PRUDENTOPOLIS-PR</t>
  </si>
  <si>
    <t>PUGMIL-TO</t>
  </si>
  <si>
    <t>PUREZA-RN</t>
  </si>
  <si>
    <t>PUTINGA-RS</t>
  </si>
  <si>
    <t>PUXINANA-PB</t>
  </si>
  <si>
    <t>QUADRA-SP</t>
  </si>
  <si>
    <t>QUARAI-RS</t>
  </si>
  <si>
    <t>QUARTEL GERAL-MG</t>
  </si>
  <si>
    <t>QUARTO CENTENARIO-PR</t>
  </si>
  <si>
    <t>QUATA-SP</t>
  </si>
  <si>
    <t>QUATIGUA-PR</t>
  </si>
  <si>
    <t>QUATIPURU-PA</t>
  </si>
  <si>
    <t>QUATIS-RJ</t>
  </si>
  <si>
    <t>QUATRO BARRAS-PR</t>
  </si>
  <si>
    <t>QUATRO IRMAOS-RS</t>
  </si>
  <si>
    <t>QUATRO PONTES-PR</t>
  </si>
  <si>
    <t>QUEBRANGULO-AL</t>
  </si>
  <si>
    <t>QUEDAS DO IGUACU-PR</t>
  </si>
  <si>
    <t>QUEIMADA NOVA-PI</t>
  </si>
  <si>
    <t>QUEIMADAS-BA</t>
  </si>
  <si>
    <t>QUEIMADAS-PB</t>
  </si>
  <si>
    <t>QUEIMADOS-RJ</t>
  </si>
  <si>
    <t>QUEIROZ-SP</t>
  </si>
  <si>
    <t>QUELUZ-SP</t>
  </si>
  <si>
    <t>QUELUZITO-MG</t>
  </si>
  <si>
    <t>QUERENCIA-MT</t>
  </si>
  <si>
    <t>QUERENCIA DO NORTE-PR</t>
  </si>
  <si>
    <t>QUEVEDOS-RS</t>
  </si>
  <si>
    <t>QUIJINGUE-BA</t>
  </si>
  <si>
    <t>QUILOMBO-SC</t>
  </si>
  <si>
    <t>QUINTA DO SOL-PR</t>
  </si>
  <si>
    <t>QUINTANA-SP</t>
  </si>
  <si>
    <t>QUINZE DE NOVEMBRO-RS</t>
  </si>
  <si>
    <t>QUIPAPA-PE</t>
  </si>
  <si>
    <t>QUIRINOPOLIS-GO</t>
  </si>
  <si>
    <t>QUISSAMA-RJ</t>
  </si>
  <si>
    <t>QUITANDINHA-PR</t>
  </si>
  <si>
    <t>QUITERIANOPOLIS-CE</t>
  </si>
  <si>
    <t>QUIXABA-PB</t>
  </si>
  <si>
    <t>QUIXABA-PE</t>
  </si>
  <si>
    <t>QUIXABEIRA-BA</t>
  </si>
  <si>
    <t>QUIXADA-CE</t>
  </si>
  <si>
    <t>QUIXELO-CE</t>
  </si>
  <si>
    <t>QUIXERAMOBIM-CE</t>
  </si>
  <si>
    <t>QUIXERE-CE</t>
  </si>
  <si>
    <t>RAFAEL FERNANDES-RN</t>
  </si>
  <si>
    <t>RAFAEL GODEIRO-RN</t>
  </si>
  <si>
    <t>RAFAEL JAMBEIRO-BA</t>
  </si>
  <si>
    <t>RAFARD-SP</t>
  </si>
  <si>
    <t>RAMILANDIA-PR</t>
  </si>
  <si>
    <t>RANCHARIA-SP</t>
  </si>
  <si>
    <t>RANCHO ALEGRE-PR</t>
  </si>
  <si>
    <t>RANCHO ALEGRE D'OESTE-PR</t>
  </si>
  <si>
    <t>RANCHO QUEIMADO-SC</t>
  </si>
  <si>
    <t>RAPOSA-MA</t>
  </si>
  <si>
    <t>RAPOSOS-MG</t>
  </si>
  <si>
    <t>RAUL SOARES-MG</t>
  </si>
  <si>
    <t>REALEZA-PR</t>
  </si>
  <si>
    <t>REBOUCAS-PR</t>
  </si>
  <si>
    <t>RECIFE-PE</t>
  </si>
  <si>
    <t>RECREIO-MG</t>
  </si>
  <si>
    <t>RECURSOLANDIA-TO</t>
  </si>
  <si>
    <t>REDENCAO-CE</t>
  </si>
  <si>
    <t>REDENCAO-PA</t>
  </si>
  <si>
    <t>REDENCAO DA SERRA-SP</t>
  </si>
  <si>
    <t>REDENCAO DO GURGUEIA-PI</t>
  </si>
  <si>
    <t>REDENTORA-RS</t>
  </si>
  <si>
    <t>REDUTO-MG</t>
  </si>
  <si>
    <t>REGENERACAO-PI</t>
  </si>
  <si>
    <t>REGENTE FEIJO-SP</t>
  </si>
  <si>
    <t>REGINOPOLIS-SP</t>
  </si>
  <si>
    <t>REGISTRO-SP</t>
  </si>
  <si>
    <t>RELVADO-RS</t>
  </si>
  <si>
    <t>REMANSO-BA</t>
  </si>
  <si>
    <t>REMIGIO-PB</t>
  </si>
  <si>
    <t>RENASCENCA-PR</t>
  </si>
  <si>
    <t>RERIUTABA-CE</t>
  </si>
  <si>
    <t>RESENDE-RJ</t>
  </si>
  <si>
    <t>RESENDE COSTA-MG</t>
  </si>
  <si>
    <t>RESERVA-PR</t>
  </si>
  <si>
    <t>RESERVA DO CABACAL-MT</t>
  </si>
  <si>
    <t>RESERVA DO IGUACU-PR</t>
  </si>
  <si>
    <t>RESPLENDOR-MG</t>
  </si>
  <si>
    <t>RESSAQUINHA-MG</t>
  </si>
  <si>
    <t>RESTINGA-SP</t>
  </si>
  <si>
    <t>RESTINGA SECA-RS</t>
  </si>
  <si>
    <t>RETIROLANDIA-BA</t>
  </si>
  <si>
    <t>RIACHAO-MA</t>
  </si>
  <si>
    <t>RIACHAO-PB</t>
  </si>
  <si>
    <t>RIACHAO DAS NEVES-BA</t>
  </si>
  <si>
    <t>RIACHAO DO BACAMARTE-PB</t>
  </si>
  <si>
    <t>RIACHAO DO DANTAS-SE</t>
  </si>
  <si>
    <t>RIACHAO DO JACUIPE-BA</t>
  </si>
  <si>
    <t>RIACHAO DO POCO-PB</t>
  </si>
  <si>
    <t>RIACHINHO-MG</t>
  </si>
  <si>
    <t>RIACHINHO-TO</t>
  </si>
  <si>
    <t>RIACHO DA CRUZ-RN</t>
  </si>
  <si>
    <t>RIACHO DAS ALMAS-PE</t>
  </si>
  <si>
    <t>RIACHO DE SANTANA-BA</t>
  </si>
  <si>
    <t>RIACHO DE SANTANA-RN</t>
  </si>
  <si>
    <t>RIACHO DE SANTO ANTONIO-PB</t>
  </si>
  <si>
    <t>RIACHO DOS CAVALOS-PB</t>
  </si>
  <si>
    <t>RIACHO DOS MACHADOS-MG</t>
  </si>
  <si>
    <t>RIACHO FRIO-PI</t>
  </si>
  <si>
    <t>RIACHUELO-RN</t>
  </si>
  <si>
    <t>RIACHUELO-SE</t>
  </si>
  <si>
    <t>RIALMA-GO</t>
  </si>
  <si>
    <t>RIANAPOLIS-GO</t>
  </si>
  <si>
    <t>RIBAMAR FIQUENE-MA</t>
  </si>
  <si>
    <t>RIBAS DO RIO PARDO-MS</t>
  </si>
  <si>
    <t>RIBEIRA-SP</t>
  </si>
  <si>
    <t>RIBEIRA DO AMPARO-BA</t>
  </si>
  <si>
    <t>RIBEIRA DO PIAUI-PI</t>
  </si>
  <si>
    <t>RIBEIRA DO POMBAL-BA</t>
  </si>
  <si>
    <t>RIBEIRAO-PE</t>
  </si>
  <si>
    <t>RIBEIRAO BONITO-SP</t>
  </si>
  <si>
    <t>RIBEIRAO BRANCO-SP</t>
  </si>
  <si>
    <t>RIBEIRAO CASCALHEIRA-MT</t>
  </si>
  <si>
    <t>RIBEIRAO CLARO-PR</t>
  </si>
  <si>
    <t>RIBEIRAO CORRENTE-SP</t>
  </si>
  <si>
    <t>RIBEIRAO DAS NEVES-MG</t>
  </si>
  <si>
    <t>RIBEIRAO DO LARGO-BA</t>
  </si>
  <si>
    <t>RIBEIRAO DO PINHAL-PR</t>
  </si>
  <si>
    <t>RIBEIRAO DO SUL-SP</t>
  </si>
  <si>
    <t>RIBEIRAO DOS INDIOS-SP</t>
  </si>
  <si>
    <t>RIBEIRAO GRANDE-SP</t>
  </si>
  <si>
    <t>RIBEIRAO PIRES-SP</t>
  </si>
  <si>
    <t>RIBEIRAO PRETO-SP</t>
  </si>
  <si>
    <t>RIBEIRAO VERMELHO-MG</t>
  </si>
  <si>
    <t>RIBEIRAOZINHO-MT</t>
  </si>
  <si>
    <t>RIBEIRO GONCALVES-PI</t>
  </si>
  <si>
    <t>RIBEIROPOLIS-SE</t>
  </si>
  <si>
    <t>RIFAINA-SP</t>
  </si>
  <si>
    <t>RINCAO-SP</t>
  </si>
  <si>
    <t>RINOPOLIS-SP</t>
  </si>
  <si>
    <t>RIO ACIMA-MG</t>
  </si>
  <si>
    <t>RIO AZUL-PR</t>
  </si>
  <si>
    <t>RIO BANANAL-ES</t>
  </si>
  <si>
    <t>RIO BOM-PR</t>
  </si>
  <si>
    <t>RIO BONITO-RJ</t>
  </si>
  <si>
    <t>RIO BONITO DO IGUACU-PR</t>
  </si>
  <si>
    <t>RIO BRANCO-AC</t>
  </si>
  <si>
    <t>RIO BRANCO-MT</t>
  </si>
  <si>
    <t>RIO BRANCO DO IVAI-PR</t>
  </si>
  <si>
    <t>RIO BRANCO DO SUL-PR</t>
  </si>
  <si>
    <t>RIO BRILHANTE-MS</t>
  </si>
  <si>
    <t>RIO CASCA-MG</t>
  </si>
  <si>
    <t>RIO CLARO-RJ</t>
  </si>
  <si>
    <t>RIO CLARO-SP</t>
  </si>
  <si>
    <t>RIO CRESPO-RO</t>
  </si>
  <si>
    <t>RIO DA CONCEICAO-TO</t>
  </si>
  <si>
    <t>RIO DAS ANTAS-SC</t>
  </si>
  <si>
    <t>RIO DAS FLORES-RJ</t>
  </si>
  <si>
    <t>RIO DAS OSTRAS-RJ</t>
  </si>
  <si>
    <t>RIO DAS PEDRAS-SP</t>
  </si>
  <si>
    <t>RIO DE CONTAS-BA</t>
  </si>
  <si>
    <t>RIO DE JANEIRO-RJ</t>
  </si>
  <si>
    <t>RIO DO ANTONIO-BA</t>
  </si>
  <si>
    <t>RIO DO CAMPO-SC</t>
  </si>
  <si>
    <t>RIO DO FOGO-RN</t>
  </si>
  <si>
    <t>RIO DO OESTE-SC</t>
  </si>
  <si>
    <t>RIO DO PIRES-BA</t>
  </si>
  <si>
    <t>RIO DO PRADO-MG</t>
  </si>
  <si>
    <t>RIO DO SUL-SC</t>
  </si>
  <si>
    <t>RIO DOCE-MG</t>
  </si>
  <si>
    <t>RIO DOS BOIS-TO</t>
  </si>
  <si>
    <t>RIO DOS CEDROS-SC</t>
  </si>
  <si>
    <t>RIO DOS INDIOS-RS</t>
  </si>
  <si>
    <t>RIO ESPERA-MG</t>
  </si>
  <si>
    <t>RIO FORMOSO-PE</t>
  </si>
  <si>
    <t>RIO FORTUNA-SC</t>
  </si>
  <si>
    <t>RIO GRANDE-RS</t>
  </si>
  <si>
    <t>RIO GRANDE DA SERRA-SP</t>
  </si>
  <si>
    <t>RIO GRANDE DO PIAUI-PI</t>
  </si>
  <si>
    <t>RIO LARGO-AL</t>
  </si>
  <si>
    <t>RIO MANSO-MG</t>
  </si>
  <si>
    <t>RIO MARIA-PA</t>
  </si>
  <si>
    <t>RIO NEGRINHO-SC</t>
  </si>
  <si>
    <t>RIO NEGRO-MS</t>
  </si>
  <si>
    <t>RIO NEGRO-PR</t>
  </si>
  <si>
    <t>RIO NOVO-MG</t>
  </si>
  <si>
    <t>RIO NOVO DO SUL-ES</t>
  </si>
  <si>
    <t>RIO PARANAIBA-MG</t>
  </si>
  <si>
    <t>RIO PARDO-RS</t>
  </si>
  <si>
    <t>RIO PARDO DE MINAS-MG</t>
  </si>
  <si>
    <t>RIO PIRACICABA-MG</t>
  </si>
  <si>
    <t>RIO POMBA-MG</t>
  </si>
  <si>
    <t>RIO PRETO-MG</t>
  </si>
  <si>
    <t>RIO PRETO DA EVA-AM</t>
  </si>
  <si>
    <t>RIO QUENTE-GO</t>
  </si>
  <si>
    <t>RIO REAL-BA</t>
  </si>
  <si>
    <t>RIO RUFINO-SC</t>
  </si>
  <si>
    <t>RIO SONO-TO</t>
  </si>
  <si>
    <t>RIO TINTO-PB</t>
  </si>
  <si>
    <t>RIO VERDE-GO</t>
  </si>
  <si>
    <t>RIO VERDE DE MATO GROSSO-MS</t>
  </si>
  <si>
    <t>RIO VERMELHO-MG</t>
  </si>
  <si>
    <t>RIOLANDIA-SP</t>
  </si>
  <si>
    <t>RIOZINHO-RS</t>
  </si>
  <si>
    <t>RIQUEZA-SC</t>
  </si>
  <si>
    <t>RITAPOLIS-MG</t>
  </si>
  <si>
    <t>RIVERSUL-SP</t>
  </si>
  <si>
    <t>ROCA SALES-RS</t>
  </si>
  <si>
    <t>ROCHEDO-MS</t>
  </si>
  <si>
    <t>ROCHEDO DE MINAS-MG</t>
  </si>
  <si>
    <t>RODEIO-SC</t>
  </si>
  <si>
    <t>RODEIO BONITO-RS</t>
  </si>
  <si>
    <t>RODEIRO-MG</t>
  </si>
  <si>
    <t>RODELAS-BA</t>
  </si>
  <si>
    <t>RODOLFO FERNANDES-RN</t>
  </si>
  <si>
    <t>RODRIGUES ALVES-AC</t>
  </si>
  <si>
    <t>ROLADOR-RS</t>
  </si>
  <si>
    <t>ROLANDIA-PR</t>
  </si>
  <si>
    <t>ROLANTE-RS</t>
  </si>
  <si>
    <t>ROLIM DE MOURA-RO</t>
  </si>
  <si>
    <t>ROMARIA-MG</t>
  </si>
  <si>
    <t>ROMELANDIA-SC</t>
  </si>
  <si>
    <t>RONCADOR-PR</t>
  </si>
  <si>
    <t>RONDA ALTA-RS</t>
  </si>
  <si>
    <t>RONDINHA-RS</t>
  </si>
  <si>
    <t>RONDOLANDIA-MT</t>
  </si>
  <si>
    <t>RONDON-PR</t>
  </si>
  <si>
    <t>RONDON DO PARA-PA</t>
  </si>
  <si>
    <t>RONDONOPOLIS-MT</t>
  </si>
  <si>
    <t>ROQUE GONZALES-RS</t>
  </si>
  <si>
    <t>RORAINOPOLIS-RR</t>
  </si>
  <si>
    <t>ROSANA-SP</t>
  </si>
  <si>
    <t>ROSARIO-MA</t>
  </si>
  <si>
    <t>ROSARIO DA LIMEIRA-MG</t>
  </si>
  <si>
    <t>ROSARIO DO CATETE-SE</t>
  </si>
  <si>
    <t>ROSARIO DO IVAI-PR</t>
  </si>
  <si>
    <t>ROSARIO DO SUL-RS</t>
  </si>
  <si>
    <t>ROSARIO OESTE-MT</t>
  </si>
  <si>
    <t>ROSEIRA-SP</t>
  </si>
  <si>
    <t>ROTEIRO-AL</t>
  </si>
  <si>
    <t>RUBELITA-MG</t>
  </si>
  <si>
    <t>RUBIACEA-SP</t>
  </si>
  <si>
    <t>RUBIATABA-GO</t>
  </si>
  <si>
    <t>RUBIM-MG</t>
  </si>
  <si>
    <t>RUBINEIA-SP</t>
  </si>
  <si>
    <t>RUROPOLIS-PA</t>
  </si>
  <si>
    <t>RUSSAS-CE</t>
  </si>
  <si>
    <t>RUY BARBOSA-BA</t>
  </si>
  <si>
    <t>RUY BARBOSA-RN</t>
  </si>
  <si>
    <t>SABARA-MG</t>
  </si>
  <si>
    <t>SABAUDIA-PR</t>
  </si>
  <si>
    <t>SABINO-SP</t>
  </si>
  <si>
    <t>SABINOPOLIS-MG</t>
  </si>
  <si>
    <t>SABOEIRO-CE</t>
  </si>
  <si>
    <t>SACRAMENTO-MG</t>
  </si>
  <si>
    <t>SAGRADA FAMILIA-RS</t>
  </si>
  <si>
    <t>SAGRES-SP</t>
  </si>
  <si>
    <t>SAIRE-PE</t>
  </si>
  <si>
    <t>SALDANHA MARINHO-RS</t>
  </si>
  <si>
    <t>SALES-SP</t>
  </si>
  <si>
    <t>SALES OLIVEIRA-SP</t>
  </si>
  <si>
    <t>SALESOPOLIS-SP</t>
  </si>
  <si>
    <t>SALETE-SC</t>
  </si>
  <si>
    <t>SALGADINHO-PB</t>
  </si>
  <si>
    <t>SALGADINHO-PE</t>
  </si>
  <si>
    <t>SALGADO-SE</t>
  </si>
  <si>
    <t>SALGADO DE SAO FELIX-PB</t>
  </si>
  <si>
    <t>SALGADO FILHO-PR</t>
  </si>
  <si>
    <t>SALGUEIRO-PE</t>
  </si>
  <si>
    <t>SALINAS-MG</t>
  </si>
  <si>
    <t>SALINAS DA MARGARIDA-BA</t>
  </si>
  <si>
    <t>SALINOPOLIS-PA</t>
  </si>
  <si>
    <t>SALITRE-CE</t>
  </si>
  <si>
    <t>SALMOURAO-SP</t>
  </si>
  <si>
    <t>SALOA-PE</t>
  </si>
  <si>
    <t>SALTINHO-SC</t>
  </si>
  <si>
    <t>SALTINHO-SP</t>
  </si>
  <si>
    <t>SALTO-SP</t>
  </si>
  <si>
    <t>SALTO DA DIVISA-MG</t>
  </si>
  <si>
    <t>SALTO DE PIRAPORA-SP</t>
  </si>
  <si>
    <t>SALTO DO CEU-MT</t>
  </si>
  <si>
    <t>SALTO DO ITARARE-PR</t>
  </si>
  <si>
    <t>SALTO DO JACUI-RS</t>
  </si>
  <si>
    <t>SALTO DO LONTRA-PR</t>
  </si>
  <si>
    <t>SALTO GRANDE-SP</t>
  </si>
  <si>
    <t>SALTO VELOSO-SC</t>
  </si>
  <si>
    <t>SALVADOR-BA</t>
  </si>
  <si>
    <t>SALVADOR DAS MISSOES-RS</t>
  </si>
  <si>
    <t>SALVADOR DO SUL-RS</t>
  </si>
  <si>
    <t>SALVATERRA-PA</t>
  </si>
  <si>
    <t>SAMBAIBA-MA</t>
  </si>
  <si>
    <t>SAMPAIO-TO</t>
  </si>
  <si>
    <t>SANANDUVA-RS</t>
  </si>
  <si>
    <t>SANCLERLANDIA-GO</t>
  </si>
  <si>
    <t>SANDOLANDIA-TO</t>
  </si>
  <si>
    <t>SANDOVALINA-SP</t>
  </si>
  <si>
    <t>SANGAO-SC</t>
  </si>
  <si>
    <t>SANHARO-PE</t>
  </si>
  <si>
    <t>SANTA ADELIA-SP</t>
  </si>
  <si>
    <t>SANTA ALBERTINA-SP</t>
  </si>
  <si>
    <t>SANTA AMELIA-PR</t>
  </si>
  <si>
    <t>SANTA BARBARA-BA</t>
  </si>
  <si>
    <t>SANTA BARBARA-MG</t>
  </si>
  <si>
    <t>SANTA BARBARA DE GOIAS-GO</t>
  </si>
  <si>
    <t>SANTA BARBARA DO LESTE-MG</t>
  </si>
  <si>
    <t>SANTA BARBARA DO MONTE VERDE-MG</t>
  </si>
  <si>
    <t>SANTA BARBARA DO PARA-PA</t>
  </si>
  <si>
    <t>SANTA BARBARA DO SUL-RS</t>
  </si>
  <si>
    <t>SANTA BARBARA DO TUGURIO-MG</t>
  </si>
  <si>
    <t>SANTA BARBARA D'OESTE-SP</t>
  </si>
  <si>
    <t>SANTA BRANCA-SP</t>
  </si>
  <si>
    <t>SANTA BRIGIDA-BA</t>
  </si>
  <si>
    <t>SANTA CARMEM-MT</t>
  </si>
  <si>
    <t>SANTA CECILIA-PB</t>
  </si>
  <si>
    <t>SANTA CECILIA-SC</t>
  </si>
  <si>
    <t>SANTA CECILIA DO PAVAO-PR</t>
  </si>
  <si>
    <t>SANTA CECILIA DO SUL-RS</t>
  </si>
  <si>
    <t>SANTA CLARA DO SUL-RS</t>
  </si>
  <si>
    <t>SANTA CLARA D'OESTE-SP</t>
  </si>
  <si>
    <t>SANTA CRUZ-PB</t>
  </si>
  <si>
    <t>SANTA CRUZ-PE</t>
  </si>
  <si>
    <t>SANTA CRUZ-RN</t>
  </si>
  <si>
    <t>SANTA CRUZ CABRALIA-BA</t>
  </si>
  <si>
    <t>SANTA CRUZ DA BAIXA VERDE-PE</t>
  </si>
  <si>
    <t>SANTA CRUZ DA CONCEICAO-SP</t>
  </si>
  <si>
    <t>SANTA CRUZ DA ESPERANCA-SP</t>
  </si>
  <si>
    <t>SANTA CRUZ DA VITORIA-BA</t>
  </si>
  <si>
    <t>SANTA CRUZ DAS PALMEIRAS-SP</t>
  </si>
  <si>
    <t>SANTA CRUZ DE GOIAS-GO</t>
  </si>
  <si>
    <t>SANTA CRUZ DE MINAS-MG</t>
  </si>
  <si>
    <t>SANTA CRUZ DE MONTE CASTELO-PR</t>
  </si>
  <si>
    <t>SANTA CRUZ DE SALINAS-MG</t>
  </si>
  <si>
    <t>SANTA CRUZ DO ARARI-PA</t>
  </si>
  <si>
    <t>SANTA CRUZ DO CAPIBARIBE-PE</t>
  </si>
  <si>
    <t>SANTA CRUZ DO ESCALVADO-MG</t>
  </si>
  <si>
    <t>SANTA CRUZ DO PIAUI-PI</t>
  </si>
  <si>
    <t>SANTA CRUZ DO RIO PARDO-SP</t>
  </si>
  <si>
    <t>SANTA CRUZ DO SUL-RS</t>
  </si>
  <si>
    <t>SANTA CRUZ DO XINGU-MT</t>
  </si>
  <si>
    <t>SANTA CRUZ DOS MILAGRES-PI</t>
  </si>
  <si>
    <t>SANTA EFIGENIA DE MINAS-MG</t>
  </si>
  <si>
    <t>SANTA ERNESTINA-SP</t>
  </si>
  <si>
    <t>SANTA FE-PR</t>
  </si>
  <si>
    <t>SANTA FE DE GOIAS-GO</t>
  </si>
  <si>
    <t>SANTA FE DE MINAS-MG</t>
  </si>
  <si>
    <t>SANTA FE DO ARAGUAIA-TO</t>
  </si>
  <si>
    <t>SANTA FE DO SUL-SP</t>
  </si>
  <si>
    <t>SANTA FILOMENA-PE</t>
  </si>
  <si>
    <t>SANTA FILOMENA-PI</t>
  </si>
  <si>
    <t>SANTA FILOMENA DO MARANHAO-MA</t>
  </si>
  <si>
    <t>SANTA GERTRUDES-SP</t>
  </si>
  <si>
    <t>SANTA HELENA-MA</t>
  </si>
  <si>
    <t>SANTA HELENA-PB</t>
  </si>
  <si>
    <t>SANTA HELENA-PR</t>
  </si>
  <si>
    <t>SANTA HELENA-SC</t>
  </si>
  <si>
    <t>SANTA HELENA DE GOIAS-GO</t>
  </si>
  <si>
    <t>SANTA HELENA DE MINAS-MG</t>
  </si>
  <si>
    <t>SANTA INES-BA</t>
  </si>
  <si>
    <t>SANTA INES-MA</t>
  </si>
  <si>
    <t>SANTA INES-PB</t>
  </si>
  <si>
    <t>SANTA INES-PR</t>
  </si>
  <si>
    <t>SANTA ISABEL-GO</t>
  </si>
  <si>
    <t>SANTA ISABEL-SP</t>
  </si>
  <si>
    <t>SANTA ISABEL DO IVAI-PR</t>
  </si>
  <si>
    <t>SANTA ISABEL DO RIO NEGRO-AM</t>
  </si>
  <si>
    <t>SANTA IZABEL DO OESTE-PR</t>
  </si>
  <si>
    <t>SANTA IZABEL DO PARA-PA</t>
  </si>
  <si>
    <t>SANTA JULIANA-MG</t>
  </si>
  <si>
    <t>SANTA LEOPOLDINA-ES</t>
  </si>
  <si>
    <t>SANTA LUCIA-PR</t>
  </si>
  <si>
    <t>SANTA LUCIA-SP</t>
  </si>
  <si>
    <t>SANTA LUZ-PI</t>
  </si>
  <si>
    <t>SANTA LUZIA-BA</t>
  </si>
  <si>
    <t>SANTA LUZIA-MA</t>
  </si>
  <si>
    <t>SANTA LUZIA-MG</t>
  </si>
  <si>
    <t>SANTA LUZIA-PB</t>
  </si>
  <si>
    <t>SANTA LUZIA DO ITANHY-SE</t>
  </si>
  <si>
    <t>SANTA LUZIA DO NORTE-AL</t>
  </si>
  <si>
    <t>SANTA LUZIA DO PARA-PA</t>
  </si>
  <si>
    <t>SANTA LUZIA DO PARUA-MA</t>
  </si>
  <si>
    <t>SANTA LUZIA D'OESTE-RO</t>
  </si>
  <si>
    <t>SANTA MARGARIDA-MG</t>
  </si>
  <si>
    <t>SANTA MARGARIDA DO SUL-RS</t>
  </si>
  <si>
    <t>SANTA MARIA-RN</t>
  </si>
  <si>
    <t>SANTA MARIA-RS</t>
  </si>
  <si>
    <t>SANTA MARIA DA BOA VISTA-PE</t>
  </si>
  <si>
    <t>SANTA MARIA DA SERRA-SP</t>
  </si>
  <si>
    <t>SANTA MARIA DA VITORIA-BA</t>
  </si>
  <si>
    <t>SANTA MARIA DAS BARREIRAS-PA</t>
  </si>
  <si>
    <t>SANTA MARIA DE ITABIRA-MG</t>
  </si>
  <si>
    <t>SANTA MARIA DE JETIBA-ES</t>
  </si>
  <si>
    <t>SANTA MARIA DO CAMBUCA-PE</t>
  </si>
  <si>
    <t>SANTA MARIA DO HERVAL-RS</t>
  </si>
  <si>
    <t>SANTA MARIA DO OESTE-PR</t>
  </si>
  <si>
    <t>SANTA MARIA DO PARA-PA</t>
  </si>
  <si>
    <t>SANTA MARIA DO SALTO-MG</t>
  </si>
  <si>
    <t>SANTA MARIA DO SUACUI-MG</t>
  </si>
  <si>
    <t>SANTA MARIA DO TOCANTINS-TO</t>
  </si>
  <si>
    <t>SANTA MARIA MADALENA-RJ</t>
  </si>
  <si>
    <t>SANTA MARIANA-PR</t>
  </si>
  <si>
    <t>SANTA MERCEDES-SP</t>
  </si>
  <si>
    <t>SANTA MONICA-PR</t>
  </si>
  <si>
    <t>SANTA QUITERIA-CE</t>
  </si>
  <si>
    <t>SANTA QUITERIA DO MARANHAO-MA</t>
  </si>
  <si>
    <t>SANTA RITA-MA</t>
  </si>
  <si>
    <t>SANTA RITA-PB</t>
  </si>
  <si>
    <t>SANTA RITA DE CALDAS-MG</t>
  </si>
  <si>
    <t>SANTA RITA DE CASSIA-BA</t>
  </si>
  <si>
    <t>SANTA RITA DE IBITIPOCA-MG</t>
  </si>
  <si>
    <t>SANTA RITA DE JACUTINGA-MG</t>
  </si>
  <si>
    <t>SANTA RITA DE MINAS-MG</t>
  </si>
  <si>
    <t>SANTA RITA DO ARAGUAIA-GO</t>
  </si>
  <si>
    <t>SANTA RITA DO ITUETO-MG</t>
  </si>
  <si>
    <t>SANTA RITA DO NOVO DESTINO-GO</t>
  </si>
  <si>
    <t>SANTA RITA DO PARDO-MS</t>
  </si>
  <si>
    <t>SANTA RITA DO PASSA QUATRO-SP</t>
  </si>
  <si>
    <t>SANTA RITA DO SAPUCAI-MG</t>
  </si>
  <si>
    <t>SANTA RITA DO TOCANTINS-TO</t>
  </si>
  <si>
    <t>SANTA RITA DO TRIVELATO-MT</t>
  </si>
  <si>
    <t>SANTA RITA D'OESTE-SP</t>
  </si>
  <si>
    <t>SANTA ROSA-RS</t>
  </si>
  <si>
    <t>SANTA ROSA DA SERRA-MG</t>
  </si>
  <si>
    <t>SANTA ROSA DE GOIAS-GO</t>
  </si>
  <si>
    <t>SANTA ROSA DE LIMA-SC</t>
  </si>
  <si>
    <t>SANTA ROSA DE LIMA-SE</t>
  </si>
  <si>
    <t>SANTA ROSA DE VITERBO-SP</t>
  </si>
  <si>
    <t>SANTA ROSA DO PIAUI-PI</t>
  </si>
  <si>
    <t>SANTA ROSA DO PURUS-AC</t>
  </si>
  <si>
    <t>SANTA ROSA DO SUL-SC</t>
  </si>
  <si>
    <t>SANTA ROSA DO TOCANTINS-TO</t>
  </si>
  <si>
    <t>SANTA SALETE-SP</t>
  </si>
  <si>
    <t>SANTA TERESA-ES</t>
  </si>
  <si>
    <t>SANTA TERESINHA-PB</t>
  </si>
  <si>
    <t>SANTA TEREZA-RS</t>
  </si>
  <si>
    <t>SANTA TEREZA DE GOIAS-GO</t>
  </si>
  <si>
    <t>SANTA TEREZA DO OESTE-PR</t>
  </si>
  <si>
    <t>SANTA TEREZA DO TOCANTINS-TO</t>
  </si>
  <si>
    <t>SANTA TEREZINHA-BA</t>
  </si>
  <si>
    <t>SANTA TEREZINHA-MT</t>
  </si>
  <si>
    <t>SANTA TEREZINHA-PE</t>
  </si>
  <si>
    <t>SANTA TEREZINHA-SC</t>
  </si>
  <si>
    <t>SANTA TEREZINHA DE GOIAS-GO</t>
  </si>
  <si>
    <t>SANTA TEREZINHA DE ITAIPU-PR</t>
  </si>
  <si>
    <t>SANTA TEREZINHA DO PROGRESSO-SC</t>
  </si>
  <si>
    <t>SANTA TEREZINHA DO TOCANTINS-TO</t>
  </si>
  <si>
    <t>SANTA VITORIA-MG</t>
  </si>
  <si>
    <t>SANTA VITORIA DO PALMAR-RS</t>
  </si>
  <si>
    <t>SANTALUZ-BA</t>
  </si>
  <si>
    <t>SANTANA-AP</t>
  </si>
  <si>
    <t>SANTANA-BA</t>
  </si>
  <si>
    <t>SANTANA DA BOA VISTA-RS</t>
  </si>
  <si>
    <t>SANTANA DA PONTE PENSA-SP</t>
  </si>
  <si>
    <t>SANTANA DA VARGEM-MG</t>
  </si>
  <si>
    <t>SANTANA DE CATAGUASES-MG</t>
  </si>
  <si>
    <t>SANTANA DE MANGUEIRA-PB</t>
  </si>
  <si>
    <t>SANTANA DE PARNAIBA-SP</t>
  </si>
  <si>
    <t>SANTANA DE PIRAPAMA-MG</t>
  </si>
  <si>
    <t>SANTANA DO ACARAU-CE</t>
  </si>
  <si>
    <t>SANTANA DO ARAGUAIA-PA</t>
  </si>
  <si>
    <t>SANTANA DO CARIRI-CE</t>
  </si>
  <si>
    <t>SANTANA DO DESERTO-MG</t>
  </si>
  <si>
    <t>SANTANA DO GARAMBEU-MG</t>
  </si>
  <si>
    <t>SANTANA DO IPANEMA-AL</t>
  </si>
  <si>
    <t>SANTANA DO ITARARE-PR</t>
  </si>
  <si>
    <t>SANTANA DO JACARE-MG</t>
  </si>
  <si>
    <t>SANT'ANA DO LIVRAMENTO-RS</t>
  </si>
  <si>
    <t>SANTANA DO MANHUACU-MG</t>
  </si>
  <si>
    <t>SANTANA DO MARANHAO-MA</t>
  </si>
  <si>
    <t>SANTANA DO MATOS-RN</t>
  </si>
  <si>
    <t>SANTANA DO MUNDAU-AL</t>
  </si>
  <si>
    <t>SANTANA DO PARAISO-MG</t>
  </si>
  <si>
    <t>SANTANA DO PIAUI-PI</t>
  </si>
  <si>
    <t>SANTANA DO RIACHO-MG</t>
  </si>
  <si>
    <t>SANTANA DO SAO FRANCISCO-SE</t>
  </si>
  <si>
    <t>SANTANA DO SERIDO-RN</t>
  </si>
  <si>
    <t>SANTANA DOS GARROTES-PB</t>
  </si>
  <si>
    <t>SANTANA DOS MONTES-MG</t>
  </si>
  <si>
    <t>SANTANOPOLIS-BA</t>
  </si>
  <si>
    <t>SANTAREM-PA</t>
  </si>
  <si>
    <t>SANTAREM NOVO-PA</t>
  </si>
  <si>
    <t>SANTIAGO-RS</t>
  </si>
  <si>
    <t>SANTIAGO DO SUL-SC</t>
  </si>
  <si>
    <t>SANTO AFONSO-MT</t>
  </si>
  <si>
    <t>SANTO AMARO-BA</t>
  </si>
  <si>
    <t>SANTO AMARO DA IMPERATRIZ-SC</t>
  </si>
  <si>
    <t>SANTO AMARO DAS BROTAS-SE</t>
  </si>
  <si>
    <t>SANTO AMARO DO MARANHAO-MA</t>
  </si>
  <si>
    <t>SANTO ANASTACIO-SP</t>
  </si>
  <si>
    <t>SANTO ANDRE-PB</t>
  </si>
  <si>
    <t>SANTO ANDRE-SP</t>
  </si>
  <si>
    <t>SANTO ANGELO-RS</t>
  </si>
  <si>
    <t>SANTO ANTONIO-RN</t>
  </si>
  <si>
    <t>SANTO ANTONIO DA ALEGRIA-SP</t>
  </si>
  <si>
    <t>SANTO ANTONIO DA BARRA-GO</t>
  </si>
  <si>
    <t>SANTO ANTONIO DA PATRULHA-RS</t>
  </si>
  <si>
    <t>SANTO ANTONIO DA PLATINA-PR</t>
  </si>
  <si>
    <t>SANTO ANTONIO DAS MISSOES-RS</t>
  </si>
  <si>
    <t>SANTO ANTONIO DE GOIAS-GO</t>
  </si>
  <si>
    <t>SANTO ANTONIO DE JESUS-BA</t>
  </si>
  <si>
    <t>SANTO ANTONIO DE LEVERGER-MT</t>
  </si>
  <si>
    <t>SANTO ANTONIO DE LISBOA-PI</t>
  </si>
  <si>
    <t>SANTO ANTONIO DE PADUA-RJ</t>
  </si>
  <si>
    <t>SANTO ANTONIO DE POSSE-SP</t>
  </si>
  <si>
    <t>SANTO ANTONIO DO AMPARO-MG</t>
  </si>
  <si>
    <t>SANTO ANTONIO DO ARACANGUA-SP</t>
  </si>
  <si>
    <t>SANTO ANTONIO DO AVENTUREIRO-MG</t>
  </si>
  <si>
    <t>SANTO ANTONIO DO CAIUA-PR</t>
  </si>
  <si>
    <t>SANTO ANTONIO DO DESCOBERTO-GO</t>
  </si>
  <si>
    <t>SANTO ANTONIO DO GRAMA-MG</t>
  </si>
  <si>
    <t>SANTO ANTONIO DO ICA-AM</t>
  </si>
  <si>
    <t>SANTO ANTONIO DO ITAMBE-MG</t>
  </si>
  <si>
    <t>SANTO ANTONIO DO JACINTO-MG</t>
  </si>
  <si>
    <t>SANTO ANTONIO DO JARDIM-SP</t>
  </si>
  <si>
    <t>SANTO ANTONIO DO LESTE-MT</t>
  </si>
  <si>
    <t>SANTO ANTONIO DO MONTE-MG</t>
  </si>
  <si>
    <t>SANTO ANTONIO DO PALMA-RS</t>
  </si>
  <si>
    <t>SANTO ANTONIO DO PARAISO-PR</t>
  </si>
  <si>
    <t>SANTO ANTONIO DO PINHAL-SP</t>
  </si>
  <si>
    <t>SANTO ANTONIO DO PLANALTO-RS</t>
  </si>
  <si>
    <t>SANTO ANTONIO DO RETIRO-MG</t>
  </si>
  <si>
    <t>SANTO ANTONIO DO RIO ABAIXO-MG</t>
  </si>
  <si>
    <t>SANTO ANTONIO DO SUDOESTE-PR</t>
  </si>
  <si>
    <t>SANTO ANTONIO DO TAUA-PA</t>
  </si>
  <si>
    <t>SANTO ANTONIO DOS LOPES-MA</t>
  </si>
  <si>
    <t>SANTO ANTONIO DOS MILAGRES-PI</t>
  </si>
  <si>
    <t>SANTO AUGUSTO-RS</t>
  </si>
  <si>
    <t>SANTO CRISTO-RS</t>
  </si>
  <si>
    <t>SANTO ESTEVAO-BA</t>
  </si>
  <si>
    <t>SANTO EXPEDITO-SP</t>
  </si>
  <si>
    <t>SANTO EXPEDITO DO SUL-RS</t>
  </si>
  <si>
    <t>SANTO HIPOLITO-MG</t>
  </si>
  <si>
    <t>SANTO INACIO-PR</t>
  </si>
  <si>
    <t>SANTO INACIO DO PIAUI-PI</t>
  </si>
  <si>
    <t>SANTOPOLIS DO AGUAPEI-SP</t>
  </si>
  <si>
    <t>SANTOS-SP</t>
  </si>
  <si>
    <t>SANTOS DUMONT-MG</t>
  </si>
  <si>
    <t>SAO BENEDITO-CE</t>
  </si>
  <si>
    <t>SAO BENEDITO DO RIO PRETO-MA</t>
  </si>
  <si>
    <t>SAO BENEDITO DO SUL-PE</t>
  </si>
  <si>
    <t>SAO BENTINHO-PB</t>
  </si>
  <si>
    <t>SAO BENTO-MA</t>
  </si>
  <si>
    <t>SAO BENTO-PB</t>
  </si>
  <si>
    <t>SAO BENTO ABADE-MG</t>
  </si>
  <si>
    <t>SAO BENTO DO NORTE-RN</t>
  </si>
  <si>
    <t>SAO BENTO DO SAPUCAI-SP</t>
  </si>
  <si>
    <t>SAO BENTO DO SUL-SC</t>
  </si>
  <si>
    <t>SAO BENTO DO TOCANTINS-TO</t>
  </si>
  <si>
    <t>SAO BENTO DO TRAIRI-RN</t>
  </si>
  <si>
    <t>SAO BENTO DO UNA-PE</t>
  </si>
  <si>
    <t>SAO BERNARDINO-SC</t>
  </si>
  <si>
    <t>SAO BERNARDO-MA</t>
  </si>
  <si>
    <t>SAO BERNARDO DO CAMPO-SP</t>
  </si>
  <si>
    <t>SAO BONIFACIO-SC</t>
  </si>
  <si>
    <t>SAO BORJA-RS</t>
  </si>
  <si>
    <t>SAO BRAS-AL</t>
  </si>
  <si>
    <t>SAO BRAS DO SUACUI-MG</t>
  </si>
  <si>
    <t>SAO BRAZ DO PIAUI-PI</t>
  </si>
  <si>
    <t>SAO CAETANO DE ODIVELAS-PA</t>
  </si>
  <si>
    <t>SAO CAETANO DO SUL-SP</t>
  </si>
  <si>
    <t>SAO CAITANO-PE</t>
  </si>
  <si>
    <t>SAO CARLOS-SC</t>
  </si>
  <si>
    <t>SAO CARLOS-SP</t>
  </si>
  <si>
    <t>SAO CARLOS DO IVAI-PR</t>
  </si>
  <si>
    <t>SAO CRISTOVAO-SE</t>
  </si>
  <si>
    <t>SAO CRISTOVAO DO SUL-SC</t>
  </si>
  <si>
    <t>SAO DESIDERIO-BA</t>
  </si>
  <si>
    <t>SAO DOMINGOS-BA</t>
  </si>
  <si>
    <t>SAO DOMINGOS-GO</t>
  </si>
  <si>
    <t>SAO DOMINGOS-PB</t>
  </si>
  <si>
    <t>SAO DOMINGOS-SC</t>
  </si>
  <si>
    <t>SAO DOMINGOS-SE</t>
  </si>
  <si>
    <t>SAO DOMINGOS DAS DORES-MG</t>
  </si>
  <si>
    <t>SAO DOMINGOS DO ARAGUAIA-PA</t>
  </si>
  <si>
    <t>SAO DOMINGOS DO AZEITAO-MA</t>
  </si>
  <si>
    <t>SAO DOMINGOS DO CAPIM-PA</t>
  </si>
  <si>
    <t>SAO DOMINGOS DO CARIRI-PB</t>
  </si>
  <si>
    <t>SAO DOMINGOS DO MARANHAO-MA</t>
  </si>
  <si>
    <t>SAO DOMINGOS DO NORTE-ES</t>
  </si>
  <si>
    <t>SAO DOMINGOS DO PRATA-MG</t>
  </si>
  <si>
    <t>SAO DOMINGOS DO SUL-RS</t>
  </si>
  <si>
    <t>SAO FELIPE-BA</t>
  </si>
  <si>
    <t>SAO FELIPE D'OESTE-RO</t>
  </si>
  <si>
    <t>SAO FELIX-BA</t>
  </si>
  <si>
    <t>SAO FELIX DE BALSAS-MA</t>
  </si>
  <si>
    <t>SAO FELIX DE MINAS-MG</t>
  </si>
  <si>
    <t>SAO FELIX DO ARAGUAIA-MT</t>
  </si>
  <si>
    <t>SAO FELIX DO CORIBE-BA</t>
  </si>
  <si>
    <t>SAO FELIX DO PIAUI-PI</t>
  </si>
  <si>
    <t>SAO FELIX DO TOCANTINS-TO</t>
  </si>
  <si>
    <t>SAO FELIX DO XINGU-PA</t>
  </si>
  <si>
    <t>SAO FERNANDO-RN</t>
  </si>
  <si>
    <t>SAO FIDELIS-RJ</t>
  </si>
  <si>
    <t>SAO FRANCISCO-MG</t>
  </si>
  <si>
    <t>SAO FRANCISCO-PB</t>
  </si>
  <si>
    <t>SAO FRANCISCO-SE</t>
  </si>
  <si>
    <t>SAO FRANCISCO-SP</t>
  </si>
  <si>
    <t>SAO FRANCISCO DE ASSIS-RS</t>
  </si>
  <si>
    <t>SAO FRANCISCO DE ASSIS DO PIAUI-PI</t>
  </si>
  <si>
    <t>SAO FRANCISCO DE GOIAS-GO</t>
  </si>
  <si>
    <t>SAO FRANCISCO DE ITABAPOANA-RJ</t>
  </si>
  <si>
    <t>SAO FRANCISCO DE PAULA-MG</t>
  </si>
  <si>
    <t>SAO FRANCISCO DE PAULA-RS</t>
  </si>
  <si>
    <t>SAO FRANCISCO DE SALES-MG</t>
  </si>
  <si>
    <t>SAO FRANCISCO DO BREJAO-MA</t>
  </si>
  <si>
    <t>SAO FRANCISCO DO CONDE-BA</t>
  </si>
  <si>
    <t>SAO FRANCISCO DO GLORIA-MG</t>
  </si>
  <si>
    <t>SAO FRANCISCO DO GUAPORE-RO</t>
  </si>
  <si>
    <t>SAO FRANCISCO DO MARANHAO-MA</t>
  </si>
  <si>
    <t>SAO FRANCISCO DO OESTE-RN</t>
  </si>
  <si>
    <t>SAO FRANCISCO DO PARA-PA</t>
  </si>
  <si>
    <t>SAO FRANCISCO DO PIAUI-PI</t>
  </si>
  <si>
    <t>SAO FRANCISCO DO SUL-SC</t>
  </si>
  <si>
    <t>SAO GABRIEL-BA</t>
  </si>
  <si>
    <t>SAO GABRIEL-RS</t>
  </si>
  <si>
    <t>SAO GABRIEL DA CACHOEIRA-AM</t>
  </si>
  <si>
    <t>SAO GABRIEL DA PALHA-ES</t>
  </si>
  <si>
    <t>SAO GABRIEL DO OESTE-MS</t>
  </si>
  <si>
    <t>SAO GERALDO-MG</t>
  </si>
  <si>
    <t>SAO GERALDO DA PIEDADE-MG</t>
  </si>
  <si>
    <t>SAO GERALDO DO ARAGUAIA-PA</t>
  </si>
  <si>
    <t>SAO GERALDO DO BAIXIO-MG</t>
  </si>
  <si>
    <t>SAO GONCALO-RJ</t>
  </si>
  <si>
    <t>SAO GONCALO DO ABAETE-MG</t>
  </si>
  <si>
    <t>SAO GONCALO DO AMARANTE-CE</t>
  </si>
  <si>
    <t>SAO GONCALO DO AMARANTE-RN</t>
  </si>
  <si>
    <t>SAO GONCALO DO GURGUEIA-PI</t>
  </si>
  <si>
    <t>SAO GONCALO DO PARA-MG</t>
  </si>
  <si>
    <t>SAO GONCALO DO PIAUI-PI</t>
  </si>
  <si>
    <t>SAO GONCALO DO RIO ABAIXO-MG</t>
  </si>
  <si>
    <t>SAO GONCALO DO RIO PRETO-MG</t>
  </si>
  <si>
    <t>SAO GONCALO DO SAPUCAI-MG</t>
  </si>
  <si>
    <t>SAO GONCALO DOS CAMPOS-BA</t>
  </si>
  <si>
    <t>SAO GOTARDO-MG</t>
  </si>
  <si>
    <t>SAO JERONIMO-RS</t>
  </si>
  <si>
    <t>SAO JERONIMO DA SERRA-PR</t>
  </si>
  <si>
    <t>SAO JOAO-PE</t>
  </si>
  <si>
    <t>SAO JOAO-PR</t>
  </si>
  <si>
    <t>SAO JOAO BATISTA-MA</t>
  </si>
  <si>
    <t>SAO JOAO BATISTA-SC</t>
  </si>
  <si>
    <t>SAO JOAO BATISTA DO GLORIA-MG</t>
  </si>
  <si>
    <t>SAO JOAO DA BALIZA-RR</t>
  </si>
  <si>
    <t>SAO JOAO DA BARRA-RJ</t>
  </si>
  <si>
    <t>SAO JOAO DA BOA VISTA-SP</t>
  </si>
  <si>
    <t>SAO JOAO DA CANABRAVA-PI</t>
  </si>
  <si>
    <t>SAO JOAO DA FRONTEIRA-PI</t>
  </si>
  <si>
    <t>SAO JOAO DA LAGOA-MG</t>
  </si>
  <si>
    <t>SAO JOAO DA MATA-MG</t>
  </si>
  <si>
    <t>SAO JOAO DA PARAUNA-GO</t>
  </si>
  <si>
    <t>SAO JOAO DA PONTA-PA</t>
  </si>
  <si>
    <t>SAO JOAO DA PONTE-MG</t>
  </si>
  <si>
    <t>SAO JOAO DA SERRA-PI</t>
  </si>
  <si>
    <t>SAO JOAO DA URTIGA-RS</t>
  </si>
  <si>
    <t>SAO JOAO DA VARJOTA-PI</t>
  </si>
  <si>
    <t>SAO JOAO D'ALIANCA-GO</t>
  </si>
  <si>
    <t>SAO JOAO DAS DUAS PONTES-SP</t>
  </si>
  <si>
    <t>SAO JOAO DAS MISSOES-MG</t>
  </si>
  <si>
    <t>SAO JOAO DE IRACEMA-SP</t>
  </si>
  <si>
    <t>SAO JOAO DE MERITI-RJ</t>
  </si>
  <si>
    <t>SAO JOAO DE PIRABAS-PA</t>
  </si>
  <si>
    <t>SAO JOAO DEL REI-MG</t>
  </si>
  <si>
    <t>SAO JOAO DO ARAGUAIA-PA</t>
  </si>
  <si>
    <t>SAO JOAO DO ARRAIAL-PI</t>
  </si>
  <si>
    <t>SAO JOAO DO CAIUA-PR</t>
  </si>
  <si>
    <t>SAO JOAO DO CARIRI-PB</t>
  </si>
  <si>
    <t>SAO JOAO DO CARU-MA</t>
  </si>
  <si>
    <t>SAO JOAO DO ITAPERIU-SC</t>
  </si>
  <si>
    <t>SAO JOAO DO IVAI-PR</t>
  </si>
  <si>
    <t>SAO JOAO DO JAGUARIBE-CE</t>
  </si>
  <si>
    <t>SAO JOAO DO MANHUACU-MG</t>
  </si>
  <si>
    <t>SAO JOAO DO MANTENINHA-MG</t>
  </si>
  <si>
    <t>SAO JOAO DO OESTE-SC</t>
  </si>
  <si>
    <t>SAO JOAO DO ORIENTE-MG</t>
  </si>
  <si>
    <t>SAO JOAO DO PACUI-MG</t>
  </si>
  <si>
    <t>SAO JOAO DO PARAISO-MA</t>
  </si>
  <si>
    <t>SAO JOAO DO PARAISO-MG</t>
  </si>
  <si>
    <t>SAO JOAO DO PAU D'ALHO-SP</t>
  </si>
  <si>
    <t>SAO JOAO DO PIAUI-PI</t>
  </si>
  <si>
    <t>SAO JOAO DO POLESINE-RS</t>
  </si>
  <si>
    <t>SAO JOAO DO RIO DO PEIXE-PB</t>
  </si>
  <si>
    <t>SAO JOAO DO SABUGI-RN</t>
  </si>
  <si>
    <t>SAO JOAO DO SOTER-MA</t>
  </si>
  <si>
    <t>SAO JOAO DO SUL-SC</t>
  </si>
  <si>
    <t>SAO JOAO DO TIGRE-PB</t>
  </si>
  <si>
    <t>SAO JOAO DO TRIUNFO-PR</t>
  </si>
  <si>
    <t>SAO JOAO DOS PATOS-MA</t>
  </si>
  <si>
    <t>SAO JOAO EVANGELISTA-MG</t>
  </si>
  <si>
    <t>SAO JOAO NEPOMUCENO-MG</t>
  </si>
  <si>
    <t>SAO JOAQUIM-SC</t>
  </si>
  <si>
    <t>SAO JOAQUIM DA BARRA-SP</t>
  </si>
  <si>
    <t>SAO JOAQUIM DE BICAS-MG</t>
  </si>
  <si>
    <t>SAO JOAQUIM DO MONTE-PE</t>
  </si>
  <si>
    <t>SAO JORGE-RS</t>
  </si>
  <si>
    <t>SAO JORGE DO IVAI-PR</t>
  </si>
  <si>
    <t>SAO JORGE DO PATROCINIO-PR</t>
  </si>
  <si>
    <t>SAO JORGE D'OESTE-PR</t>
  </si>
  <si>
    <t>SAO JOSE-SC</t>
  </si>
  <si>
    <t>SAO JOSE DA BARRA-MG</t>
  </si>
  <si>
    <t>SAO JOSE DA BELA VISTA-SP</t>
  </si>
  <si>
    <t>SAO JOSE DA BOA VISTA-PR</t>
  </si>
  <si>
    <t>SAO JOSE DA COROA GRANDE-PE</t>
  </si>
  <si>
    <t>SAO JOSE DA LAGOA TAPADA-PB</t>
  </si>
  <si>
    <t>SAO JOSE DA LAJE-AL</t>
  </si>
  <si>
    <t>SAO JOSE DA LAPA-MG</t>
  </si>
  <si>
    <t>SAO JOSE DA SAFIRA-MG</t>
  </si>
  <si>
    <t>SAO JOSE DA TAPERA-AL</t>
  </si>
  <si>
    <t>SAO JOSE DA VARGINHA-MG</t>
  </si>
  <si>
    <t>SAO JOSE DA VITORIA-BA</t>
  </si>
  <si>
    <t>SAO JOSE DAS MISSOES-RS</t>
  </si>
  <si>
    <t>SAO JOSE DAS PALMEIRAS-PR</t>
  </si>
  <si>
    <t>SAO JOSE DE CAIANA-PB</t>
  </si>
  <si>
    <t>SAO JOSE DE ESPINHARAS-PB</t>
  </si>
  <si>
    <t>SAO JOSE DE MIPIBU-RN</t>
  </si>
  <si>
    <t>SAO JOSE DE PIRANHAS-PB</t>
  </si>
  <si>
    <t>SAO JOSE DE PRINCESA-PB</t>
  </si>
  <si>
    <t>SAO JOSE DE RIBAMAR-MA</t>
  </si>
  <si>
    <t>SAO JOSE DE UBA-RJ</t>
  </si>
  <si>
    <t>SAO JOSE DO ALEGRE-MG</t>
  </si>
  <si>
    <t>SAO JOSE DO BARREIRO-SP</t>
  </si>
  <si>
    <t>SAO JOSE DO BELMONTE-PE</t>
  </si>
  <si>
    <t>SAO JOSE DO BONFIM-PB</t>
  </si>
  <si>
    <t>SAO JOSE DO BREJO DO CRUZ-PB</t>
  </si>
  <si>
    <t>SAO JOSE DO CALCADO-ES</t>
  </si>
  <si>
    <t>SAO JOSE DO CAMPESTRE-RN</t>
  </si>
  <si>
    <t>SAO JOSE DO CEDRO-SC</t>
  </si>
  <si>
    <t>SAO JOSE DO CERRITO-SC</t>
  </si>
  <si>
    <t>SAO JOSE DO DIVINO-MG</t>
  </si>
  <si>
    <t>SAO JOSE DO DIVINO-PI</t>
  </si>
  <si>
    <t>SAO JOSE DO EGITO-PE</t>
  </si>
  <si>
    <t>SAO JOSE DO GOIABAL-MG</t>
  </si>
  <si>
    <t>SAO JOSE DO HERVAL-RS</t>
  </si>
  <si>
    <t>SAO JOSE DO HORTENCIO-RS</t>
  </si>
  <si>
    <t>SAO JOSE DO INHACORA-RS</t>
  </si>
  <si>
    <t>SAO JOSE DO JACUIPE-BA</t>
  </si>
  <si>
    <t>SAO JOSE DO JACURI-MG</t>
  </si>
  <si>
    <t>SAO JOSE DO MANTIMENTO-MG</t>
  </si>
  <si>
    <t>SAO JOSE DO NORTE-RS</t>
  </si>
  <si>
    <t>SAO JOSE DO OURO-RS</t>
  </si>
  <si>
    <t>SAO JOSE DO PEIXE-PI</t>
  </si>
  <si>
    <t>SAO JOSE DO PIAUI-PI</t>
  </si>
  <si>
    <t>SAO JOSE DO POVO-MT</t>
  </si>
  <si>
    <t>SAO JOSE DO RIO CLARO-MT</t>
  </si>
  <si>
    <t>SAO JOSE DO RIO PARDO-SP</t>
  </si>
  <si>
    <t>SAO JOSE DO RIO PRETO-SP</t>
  </si>
  <si>
    <t>SAO JOSE DO SABUGI-PB</t>
  </si>
  <si>
    <t>SAO JOSE DO SERIDO-RN</t>
  </si>
  <si>
    <t>SAO JOSE DO SUL-RS</t>
  </si>
  <si>
    <t>SAO JOSE DO VALE DO RIO PRETO-RJ</t>
  </si>
  <si>
    <t>SAO JOSE DO XINGU-MT</t>
  </si>
  <si>
    <t>SAO JOSE DOS AUSENTES-RS</t>
  </si>
  <si>
    <t>SAO JOSE DOS BASILIOS-MA</t>
  </si>
  <si>
    <t>SAO JOSE DOS CAMPOS-SP</t>
  </si>
  <si>
    <t>SAO JOSE DOS CORDEIROS-PB</t>
  </si>
  <si>
    <t>SAO JOSE DOS PINHAIS-PR</t>
  </si>
  <si>
    <t>SAO JOSE DOS QUATRO MARCOS-MT</t>
  </si>
  <si>
    <t>SAO JOSE DOS RAMOS-PB</t>
  </si>
  <si>
    <t>SAO JULIAO-PI</t>
  </si>
  <si>
    <t>SAO LEOPOLDO-RS</t>
  </si>
  <si>
    <t>SAO LOURENCO-MG</t>
  </si>
  <si>
    <t>SAO LOURENCO DA MATA-PE</t>
  </si>
  <si>
    <t>SAO LOURENCO DA SERRA-SP</t>
  </si>
  <si>
    <t>SAO LOURENCO DO OESTE-SC</t>
  </si>
  <si>
    <t>SAO LOURENCO DO PIAUI-PI</t>
  </si>
  <si>
    <t>SAO LOURENCO DO SUL-RS</t>
  </si>
  <si>
    <t>SAO LUDGERO-SC</t>
  </si>
  <si>
    <t>SAO LUIS-MA</t>
  </si>
  <si>
    <t>SAO LUIS DE MONTES BELOS-GO</t>
  </si>
  <si>
    <t>SAO LUIS DO CURU-CE</t>
  </si>
  <si>
    <t>SAO LUIS DO PIAUI-PI</t>
  </si>
  <si>
    <t>SAO LUIS DO QUITUNDE-AL</t>
  </si>
  <si>
    <t>SAO LUIS GONZAGA DO MARANHAO-MA</t>
  </si>
  <si>
    <t>SAO LUIZ-RR</t>
  </si>
  <si>
    <t>SAO LUIZ DO NORTE-GO</t>
  </si>
  <si>
    <t>SAO LUIZ DO PARAITINGA-SP</t>
  </si>
  <si>
    <t>SAO LUIZ GONZAGA-RS</t>
  </si>
  <si>
    <t>SAO MAMEDE-PB</t>
  </si>
  <si>
    <t>SAO MANOEL DO PARANA-PR</t>
  </si>
  <si>
    <t>SAO MANUEL-SP</t>
  </si>
  <si>
    <t>SAO MARCOS-RS</t>
  </si>
  <si>
    <t>SAO MARTINHO-RS</t>
  </si>
  <si>
    <t>SAO MARTINHO-SC</t>
  </si>
  <si>
    <t>SAO MARTINHO DA SERRA-RS</t>
  </si>
  <si>
    <t>SAO MATEUS-ES</t>
  </si>
  <si>
    <t>SAO MATEUS DO MARANHAO-MA</t>
  </si>
  <si>
    <t>SAO MATEUS DO SUL-PR</t>
  </si>
  <si>
    <t>SAO MIGUEL-RN</t>
  </si>
  <si>
    <t>SAO MIGUEL ARCANJO-SP</t>
  </si>
  <si>
    <t>SAO MIGUEL DA BAIXA GRANDE-PI</t>
  </si>
  <si>
    <t>SAO MIGUEL DA BOA VISTA-SC</t>
  </si>
  <si>
    <t>SAO MIGUEL DAS MATAS-BA</t>
  </si>
  <si>
    <t>SAO MIGUEL DAS MISSOES-RS</t>
  </si>
  <si>
    <t>SAO MIGUEL DE TAIPU-PB</t>
  </si>
  <si>
    <t>SAO MIGUEL DO ALEIXO-SE</t>
  </si>
  <si>
    <t>SAO MIGUEL DO ANTA-MG</t>
  </si>
  <si>
    <t>SAO MIGUEL DO ARAGUAIA-GO</t>
  </si>
  <si>
    <t>SAO MIGUEL DO FIDALGO-PI</t>
  </si>
  <si>
    <t>SAO MIGUEL DO GOSTOSO-RN</t>
  </si>
  <si>
    <t>SAO MIGUEL DO GUAMA-PA</t>
  </si>
  <si>
    <t>SAO MIGUEL DO GUAPORE-RO</t>
  </si>
  <si>
    <t>SAO MIGUEL DO IGUACU-PR</t>
  </si>
  <si>
    <t>SAO MIGUEL DO OESTE-SC</t>
  </si>
  <si>
    <t>SAO MIGUEL DO PASSA QUATRO-GO</t>
  </si>
  <si>
    <t>SAO MIGUEL DO TAPUIO-PI</t>
  </si>
  <si>
    <t>SAO MIGUEL DO TOCANTINS-TO</t>
  </si>
  <si>
    <t>SAO MIGUEL DOS CAMPOS-AL</t>
  </si>
  <si>
    <t>SAO MIGUEL DOS MILAGRES-AL</t>
  </si>
  <si>
    <t>SAO NICOLAU-RS</t>
  </si>
  <si>
    <t>SAO PATRICIO-GO</t>
  </si>
  <si>
    <t>SAO PAULO-SP</t>
  </si>
  <si>
    <t>SAO PAULO DAS MISSOES-RS</t>
  </si>
  <si>
    <t>SAO PAULO DE OLIVENCA-AM</t>
  </si>
  <si>
    <t>SAO PAULO DO POTENGI-RN</t>
  </si>
  <si>
    <t>SAO PEDRO-RN</t>
  </si>
  <si>
    <t>SAO PEDRO-SP</t>
  </si>
  <si>
    <t>SAO PEDRO DA AGUA BRANCA-MA</t>
  </si>
  <si>
    <t>SAO PEDRO DA ALDEIA-RJ</t>
  </si>
  <si>
    <t>SAO PEDRO DA CIPA-MT</t>
  </si>
  <si>
    <t>SAO PEDRO DA SERRA-RS</t>
  </si>
  <si>
    <t>SAO PEDRO DA UNIAO-MG</t>
  </si>
  <si>
    <t>SAO PEDRO DAS MISSOES-RS</t>
  </si>
  <si>
    <t>SAO PEDRO DE ALCANTARA-SC</t>
  </si>
  <si>
    <t>SAO PEDRO DO BUTIA-RS</t>
  </si>
  <si>
    <t>SAO PEDRO DO IGUACU-PR</t>
  </si>
  <si>
    <t>SAO PEDRO DO IVAI-PR</t>
  </si>
  <si>
    <t>SAO PEDRO DO PARANA-PR</t>
  </si>
  <si>
    <t>SAO PEDRO DO PIAUI-PI</t>
  </si>
  <si>
    <t>SAO PEDRO DO SUACUI-MG</t>
  </si>
  <si>
    <t>SAO PEDRO DO SUL-RS</t>
  </si>
  <si>
    <t>SAO PEDRO DO TURVO-SP</t>
  </si>
  <si>
    <t>SAO PEDRO DOS CRENTES-MA</t>
  </si>
  <si>
    <t>SAO PEDRO DOS FERROS-MG</t>
  </si>
  <si>
    <t>SAO RAFAEL-RN</t>
  </si>
  <si>
    <t>SAO RAIMUNDO DAS MANGABEIRAS-MA</t>
  </si>
  <si>
    <t>SAO RAIMUNDO DO DOCA BEZERRA-MA</t>
  </si>
  <si>
    <t>SAO RAIMUNDO NONATO-PI</t>
  </si>
  <si>
    <t>SAO ROBERTO-MA</t>
  </si>
  <si>
    <t>SAO ROMAO-MG</t>
  </si>
  <si>
    <t>SAO ROQUE-SP</t>
  </si>
  <si>
    <t>SAO ROQUE DE MINAS-MG</t>
  </si>
  <si>
    <t>SAO ROQUE DO CANAA-ES</t>
  </si>
  <si>
    <t>SAO SALVADOR DO TOCANTINS-TO</t>
  </si>
  <si>
    <t>SAO SEBASTIAO-AL</t>
  </si>
  <si>
    <t>SAO SEBASTIAO-SP</t>
  </si>
  <si>
    <t>SAO SEBASTIAO DA AMOREIRA-PR</t>
  </si>
  <si>
    <t>SAO SEBASTIAO DA BELA VISTA-MG</t>
  </si>
  <si>
    <t>SAO SEBASTIAO DA BOA VISTA-PA</t>
  </si>
  <si>
    <t>SAO SEBASTIAO DA GRAMA-SP</t>
  </si>
  <si>
    <t>SAO SEBASTIAO DA VARGEM ALEGRE-MG</t>
  </si>
  <si>
    <t>SAO SEBASTIAO DE LAGOA DE ROCA-PB</t>
  </si>
  <si>
    <t>SAO SEBASTIAO DO ALTO-RJ</t>
  </si>
  <si>
    <t>SAO SEBASTIAO DO ANTA-MG</t>
  </si>
  <si>
    <t>SAO SEBASTIAO DO CAI-RS</t>
  </si>
  <si>
    <t>SAO SEBASTIAO DO MARANHAO-MG</t>
  </si>
  <si>
    <t>SAO SEBASTIAO DO OESTE-MG</t>
  </si>
  <si>
    <t>SAO SEBASTIAO DO PARAISO-MG</t>
  </si>
  <si>
    <t>SAO SEBASTIAO DO PASSE-BA</t>
  </si>
  <si>
    <t>SAO SEBASTIAO DO RIO PRETO-MG</t>
  </si>
  <si>
    <t>SAO SEBASTIAO DO RIO VERDE-MG</t>
  </si>
  <si>
    <t>SAO SEBASTIAO DO TOCANTINS-TO</t>
  </si>
  <si>
    <t>SAO SEBASTIAO DO UATUMA-AM</t>
  </si>
  <si>
    <t>SAO SEBASTIAO DO UMBUZEIRO-PB</t>
  </si>
  <si>
    <t>SAO SEPE-RS</t>
  </si>
  <si>
    <t>SAO SIMAO-GO</t>
  </si>
  <si>
    <t>SAO SIMAO-SP</t>
  </si>
  <si>
    <t>SAO TIAGO-MG</t>
  </si>
  <si>
    <t>SAO TOMAS DE AQUINO-MG</t>
  </si>
  <si>
    <t>SAO TOME-PR</t>
  </si>
  <si>
    <t>SAO TOME-RN</t>
  </si>
  <si>
    <t>SAO TOME DAS LETRAS-MG</t>
  </si>
  <si>
    <t>SAO VALENTIM-RS</t>
  </si>
  <si>
    <t>SAO VALENTIM DO SUL-RS</t>
  </si>
  <si>
    <t>SAO VALERIO-TO</t>
  </si>
  <si>
    <t>SAO VALERIO DO SUL-RS</t>
  </si>
  <si>
    <t>SAO VENDELINO-RS</t>
  </si>
  <si>
    <t>SAO VICENTE-RN</t>
  </si>
  <si>
    <t>SAO VICENTE-SP</t>
  </si>
  <si>
    <t>SAO VICENTE DE MINAS-MG</t>
  </si>
  <si>
    <t>SAO VICENTE DO SERIDO-PB</t>
  </si>
  <si>
    <t>SAO VICENTE DO SUL-RS</t>
  </si>
  <si>
    <t>SAO VICENTE FERRER-MA</t>
  </si>
  <si>
    <t>SAO VICENTE FERRER-PE</t>
  </si>
  <si>
    <t>SAPE-PB</t>
  </si>
  <si>
    <t>SAPEACU-BA</t>
  </si>
  <si>
    <t>SAPEZAL-MT</t>
  </si>
  <si>
    <t>SAPIRANGA-RS</t>
  </si>
  <si>
    <t>SAPOPEMA-PR</t>
  </si>
  <si>
    <t>SAPUCAIA-PA</t>
  </si>
  <si>
    <t>SAPUCAIA-RJ</t>
  </si>
  <si>
    <t>SAPUCAIA DO SUL-RS</t>
  </si>
  <si>
    <t>SAPUCAI-MIRIM-MG</t>
  </si>
  <si>
    <t>SAQUAREMA-RJ</t>
  </si>
  <si>
    <t>SARANDI-PR</t>
  </si>
  <si>
    <t>SARANDI-RS</t>
  </si>
  <si>
    <t>SARAPUI-SP</t>
  </si>
  <si>
    <t>SARDOA-MG</t>
  </si>
  <si>
    <t>SARUTAIA-SP</t>
  </si>
  <si>
    <t>SARZEDO-MG</t>
  </si>
  <si>
    <t>SATIRO DIAS-BA</t>
  </si>
  <si>
    <t>SATUBA-AL</t>
  </si>
  <si>
    <t>SATUBINHA-MA</t>
  </si>
  <si>
    <t>SAUBARA-BA</t>
  </si>
  <si>
    <t>SAUDADE DO IGUACU-PR</t>
  </si>
  <si>
    <t>SAUDADES-SC</t>
  </si>
  <si>
    <t>SAUDE-BA</t>
  </si>
  <si>
    <t>SCHROEDER-SC</t>
  </si>
  <si>
    <t>SEABRA-BA</t>
  </si>
  <si>
    <t>SEARA-SC</t>
  </si>
  <si>
    <t>SEBASTIANOPOLIS DO SUL-SP</t>
  </si>
  <si>
    <t>SEBASTIAO BARROS-PI</t>
  </si>
  <si>
    <t>SEBASTIAO LARANJEIRAS-BA</t>
  </si>
  <si>
    <t>SEBASTIAO LEAL-PI</t>
  </si>
  <si>
    <t>SEBERI-RS</t>
  </si>
  <si>
    <t>SEDE NOVA-RS</t>
  </si>
  <si>
    <t>SEGREDO-RS</t>
  </si>
  <si>
    <t>SELBACH-RS</t>
  </si>
  <si>
    <t>SELVIRIA-MS</t>
  </si>
  <si>
    <t>SEM-PEIXE-MG</t>
  </si>
  <si>
    <t>SENA MADUREIRA-AC</t>
  </si>
  <si>
    <t>SENADOR ALEXANDRE COSTA-MA</t>
  </si>
  <si>
    <t>SENADOR AMARAL-MG</t>
  </si>
  <si>
    <t>SENADOR CANEDO-GO</t>
  </si>
  <si>
    <t>SENADOR CORTES-MG</t>
  </si>
  <si>
    <t>SENADOR ELOI DE SOUZA-RN</t>
  </si>
  <si>
    <t>SENADOR FIRMINO-MG</t>
  </si>
  <si>
    <t>SENADOR GEORGINO AVELINO-RN</t>
  </si>
  <si>
    <t>SENADOR GUIOMARD-AC</t>
  </si>
  <si>
    <t>SENADOR JOSE BENTO-MG</t>
  </si>
  <si>
    <t>SENADOR JOSE PORFIRIO-PA</t>
  </si>
  <si>
    <t>SENADOR LA ROCQUE-MA</t>
  </si>
  <si>
    <t>SENADOR MODESTINO GONCALVES-MG</t>
  </si>
  <si>
    <t>SENADOR POMPEU-CE</t>
  </si>
  <si>
    <t>SENADOR RUI PALMEIRA-AL</t>
  </si>
  <si>
    <t>SENADOR SA-CE</t>
  </si>
  <si>
    <t>SENADOR SALGADO FILHO-RS</t>
  </si>
  <si>
    <t>SENGES-PR</t>
  </si>
  <si>
    <t>SENHOR DO BONFIM-BA</t>
  </si>
  <si>
    <t>SENHORA DE OLIVEIRA-MG</t>
  </si>
  <si>
    <t>SENHORA DO PORTO-MG</t>
  </si>
  <si>
    <t>SENHORA DOS REMEDIOS-MG</t>
  </si>
  <si>
    <t>SENTINELA DO SUL-RS</t>
  </si>
  <si>
    <t>SENTO SE-BA</t>
  </si>
  <si>
    <t>SERAFINA CORREA-RS</t>
  </si>
  <si>
    <t>SERICITA-MG</t>
  </si>
  <si>
    <t>SERINGUEIRAS-RO</t>
  </si>
  <si>
    <t>SERIO-RS</t>
  </si>
  <si>
    <t>SERITINGA-MG</t>
  </si>
  <si>
    <t>SEROPEDICA-RJ</t>
  </si>
  <si>
    <t>SERRA-ES</t>
  </si>
  <si>
    <t>SERRA ALTA-SC</t>
  </si>
  <si>
    <t>SERRA AZUL-SP</t>
  </si>
  <si>
    <t>SERRA AZUL DE MINAS-MG</t>
  </si>
  <si>
    <t>SERRA BRANCA-PB</t>
  </si>
  <si>
    <t>SERRA CAIADA-RN</t>
  </si>
  <si>
    <t>SERRA DA RAIZ-PB</t>
  </si>
  <si>
    <t>SERRA DA SAUDADE-MG</t>
  </si>
  <si>
    <t>SERRA DE SAO BENTO-RN</t>
  </si>
  <si>
    <t>SERRA DO MEL-RN</t>
  </si>
  <si>
    <t>SERRA DO NAVIO-AP</t>
  </si>
  <si>
    <t>SERRA DO RAMALHO-BA</t>
  </si>
  <si>
    <t>SERRA DO SALITRE-MG</t>
  </si>
  <si>
    <t>SERRA DOS AIMORES-MG</t>
  </si>
  <si>
    <t>SERRA DOURADA-BA</t>
  </si>
  <si>
    <t>SERRA GRANDE-PB</t>
  </si>
  <si>
    <t>SERRA NEGRA-SP</t>
  </si>
  <si>
    <t>SERRA NEGRA DO NORTE-RN</t>
  </si>
  <si>
    <t>SERRA NOVA DOURADA-MT</t>
  </si>
  <si>
    <t>SERRA PRETA-BA</t>
  </si>
  <si>
    <t>SERRA REDONDA-PB</t>
  </si>
  <si>
    <t>SERRA TALHADA-PE</t>
  </si>
  <si>
    <t>SERRANA-SP</t>
  </si>
  <si>
    <t>SERRANIA-MG</t>
  </si>
  <si>
    <t>SERRANO DO MARANHAO-MA</t>
  </si>
  <si>
    <t>SERRANOPOLIS-GO</t>
  </si>
  <si>
    <t>SERRANOPOLIS DE MINAS-MG</t>
  </si>
  <si>
    <t>SERRANOPOLIS DO IGUACU-PR</t>
  </si>
  <si>
    <t>SERRANOS-MG</t>
  </si>
  <si>
    <t>SERRARIA-PB</t>
  </si>
  <si>
    <t>SERRINHA-BA</t>
  </si>
  <si>
    <t>SERRINHA-RN</t>
  </si>
  <si>
    <t>SERRINHA DOS PINTOS-RN</t>
  </si>
  <si>
    <t>SERRITA-PE</t>
  </si>
  <si>
    <t>SERRO-MG</t>
  </si>
  <si>
    <t>SERROLANDIA-BA</t>
  </si>
  <si>
    <t>SERTANEJA-PR</t>
  </si>
  <si>
    <t>SERTANIA-PE</t>
  </si>
  <si>
    <t>SERTANOPOLIS-PR</t>
  </si>
  <si>
    <t>SERTAO-RS</t>
  </si>
  <si>
    <t>SERTAO SANTANA-RS</t>
  </si>
  <si>
    <t>SERTAOZINHO-PB</t>
  </si>
  <si>
    <t>SERTAOZINHO-SP</t>
  </si>
  <si>
    <t>SETE BARRAS-SP</t>
  </si>
  <si>
    <t>SETE DE SETEMBRO-RS</t>
  </si>
  <si>
    <t>SETE LAGOAS-MG</t>
  </si>
  <si>
    <t>SETE QUEDAS-MS</t>
  </si>
  <si>
    <t>SETUBINHA-MG</t>
  </si>
  <si>
    <t>SEVERIANO DE ALMEIDA-RS</t>
  </si>
  <si>
    <t>SEVERIANO MELO-RN</t>
  </si>
  <si>
    <t>SEVERINIA-SP</t>
  </si>
  <si>
    <t>SIDEROPOLIS-SC</t>
  </si>
  <si>
    <t>SIDROLANDIA-MS</t>
  </si>
  <si>
    <t>SIGEFREDO PACHECO-PI</t>
  </si>
  <si>
    <t>SILVA JARDIM-RJ</t>
  </si>
  <si>
    <t>SILVANIA-GO</t>
  </si>
  <si>
    <t>SILVANOPOLIS-TO</t>
  </si>
  <si>
    <t>SILVEIRA MARTINS-RS</t>
  </si>
  <si>
    <t>SILVEIRANIA-MG</t>
  </si>
  <si>
    <t>SILVEIRAS-SP</t>
  </si>
  <si>
    <t>SILVES-AM</t>
  </si>
  <si>
    <t>SILVIANOPOLIS-MG</t>
  </si>
  <si>
    <t>SIMAO DIAS-SE</t>
  </si>
  <si>
    <t>SIMAO PEREIRA-MG</t>
  </si>
  <si>
    <t>SIMOES-PI</t>
  </si>
  <si>
    <t>SIMOES FILHO-BA</t>
  </si>
  <si>
    <t>SIMOLANDIA-GO</t>
  </si>
  <si>
    <t>SIMONESIA-MG</t>
  </si>
  <si>
    <t>SIMPLICIO MENDES-PI</t>
  </si>
  <si>
    <t>SINIMBU-RS</t>
  </si>
  <si>
    <t>SINOP-MT</t>
  </si>
  <si>
    <t>SIQUEIRA CAMPOS-PR</t>
  </si>
  <si>
    <t>SIRINHAEM-PE</t>
  </si>
  <si>
    <t>SIRIRI-SE</t>
  </si>
  <si>
    <t>SITIO D'ABADIA-GO</t>
  </si>
  <si>
    <t>SITIO DO MATO-BA</t>
  </si>
  <si>
    <t>SITIO DO QUINTO-BA</t>
  </si>
  <si>
    <t>SITIO NOVO-MA</t>
  </si>
  <si>
    <t>SITIO NOVO-RN</t>
  </si>
  <si>
    <t>SITIO NOVO DO TOCANTINS-TO</t>
  </si>
  <si>
    <t>SOBRADINHO-BA</t>
  </si>
  <si>
    <t>SOBRADINHO-RS</t>
  </si>
  <si>
    <t>SOBRADO-PB</t>
  </si>
  <si>
    <t>SOBRAL-CE</t>
  </si>
  <si>
    <t>SOBRALIA-MG</t>
  </si>
  <si>
    <t>SOCORRO-SP</t>
  </si>
  <si>
    <t>SOCORRO DO PIAUI-PI</t>
  </si>
  <si>
    <t>SOLANEA-PB</t>
  </si>
  <si>
    <t>SOLEDADE-PB</t>
  </si>
  <si>
    <t>SOLEDADE-RS</t>
  </si>
  <si>
    <t>SOLEDADE DE MINAS-MG</t>
  </si>
  <si>
    <t>SOLIDAO-PE</t>
  </si>
  <si>
    <t>SOLONOPOLE-CE</t>
  </si>
  <si>
    <t>SOMBRIO-SC</t>
  </si>
  <si>
    <t>SONORA-MS</t>
  </si>
  <si>
    <t>SOORETAMA-ES</t>
  </si>
  <si>
    <t>SOROCABA-SP</t>
  </si>
  <si>
    <t>SORRISO-MT</t>
  </si>
  <si>
    <t>SOSSEGO-PB</t>
  </si>
  <si>
    <t>SOURE-PA</t>
  </si>
  <si>
    <t>SOUSA-PB</t>
  </si>
  <si>
    <t>SOUTO SOARES-BA</t>
  </si>
  <si>
    <t>SUCUPIRA-TO</t>
  </si>
  <si>
    <t>SUCUPIRA DO NORTE-MA</t>
  </si>
  <si>
    <t>SUCUPIRA DO RIACHAO-MA</t>
  </si>
  <si>
    <t>SUD MENNUCCI-SP</t>
  </si>
  <si>
    <t>SUL BRASIL-SC</t>
  </si>
  <si>
    <t>SULINA-PR</t>
  </si>
  <si>
    <t>SUMARE-SP</t>
  </si>
  <si>
    <t>SUME-PB</t>
  </si>
  <si>
    <t>SUMIDOURO-RJ</t>
  </si>
  <si>
    <t>SURUBIM-PE</t>
  </si>
  <si>
    <t>SUSSUAPARA-PI</t>
  </si>
  <si>
    <t>SUZANAPOLIS-SP</t>
  </si>
  <si>
    <t>SUZANO-SP</t>
  </si>
  <si>
    <t>TABAI-RS</t>
  </si>
  <si>
    <t>TABAPORA-MT</t>
  </si>
  <si>
    <t>TABAPUA-SP</t>
  </si>
  <si>
    <t>TABATINGA-AM</t>
  </si>
  <si>
    <t>TABATINGA-SP</t>
  </si>
  <si>
    <t>TABIRA-PE</t>
  </si>
  <si>
    <t>TABOAO DA SERRA-SP</t>
  </si>
  <si>
    <t>TABOCAO-TO</t>
  </si>
  <si>
    <t>TABOCAS DO BREJO VELHO-BA</t>
  </si>
  <si>
    <t>TABOLEIRO GRANDE-RN</t>
  </si>
  <si>
    <t>TABULEIRO-MG</t>
  </si>
  <si>
    <t>TABULEIRO DO NORTE-CE</t>
  </si>
  <si>
    <t>TACAIMBO-PE</t>
  </si>
  <si>
    <t>TACARATU-PE</t>
  </si>
  <si>
    <t>TACIBA-SP</t>
  </si>
  <si>
    <t>TACIMA-PB</t>
  </si>
  <si>
    <t>TACURU-MS</t>
  </si>
  <si>
    <t>TAGUAI-SP</t>
  </si>
  <si>
    <t>TAGUATINGA-TO</t>
  </si>
  <si>
    <t>TAIACU-SP</t>
  </si>
  <si>
    <t>TAILANDIA-PA</t>
  </si>
  <si>
    <t>TAIO-SC</t>
  </si>
  <si>
    <t>TAIOBEIRAS-MG</t>
  </si>
  <si>
    <t>TAIPAS DO TOCANTINS-TO</t>
  </si>
  <si>
    <t>TAIPU-RN</t>
  </si>
  <si>
    <t>TAIUVA-SP</t>
  </si>
  <si>
    <t>TALISMA-TO</t>
  </si>
  <si>
    <t>TAMANDARE-PE</t>
  </si>
  <si>
    <t>TAMARANA-PR</t>
  </si>
  <si>
    <t>TAMBAU-SP</t>
  </si>
  <si>
    <t>TAMBOARA-PR</t>
  </si>
  <si>
    <t>TAMBORIL-CE</t>
  </si>
  <si>
    <t>TAMBORIL DO PIAUI-PI</t>
  </si>
  <si>
    <t>TANABI-SP</t>
  </si>
  <si>
    <t>TANGARA-RN</t>
  </si>
  <si>
    <t>TANGARA-SC</t>
  </si>
  <si>
    <t>TANGARA DA SERRA-MT</t>
  </si>
  <si>
    <t>TANGUA-RJ</t>
  </si>
  <si>
    <t>TANHACU-BA</t>
  </si>
  <si>
    <t>TANQUE D'ARCA-AL</t>
  </si>
  <si>
    <t>TANQUE DO PIAUI-PI</t>
  </si>
  <si>
    <t>TANQUE NOVO-BA</t>
  </si>
  <si>
    <t>TANQUINHO-BA</t>
  </si>
  <si>
    <t>TAPARUBA-MG</t>
  </si>
  <si>
    <t>TAPAUA-AM</t>
  </si>
  <si>
    <t>TAPEJARA-PR</t>
  </si>
  <si>
    <t>TAPEJARA-RS</t>
  </si>
  <si>
    <t>TAPERA-RS</t>
  </si>
  <si>
    <t>TAPEROA-BA</t>
  </si>
  <si>
    <t>TAPEROA-PB</t>
  </si>
  <si>
    <t>TAPES-RS</t>
  </si>
  <si>
    <t>TAPIRA-MG</t>
  </si>
  <si>
    <t>TAPIRA-PR</t>
  </si>
  <si>
    <t>TAPIRAI-MG</t>
  </si>
  <si>
    <t>TAPIRAI-SP</t>
  </si>
  <si>
    <t>TAPIRAMUTA-BA</t>
  </si>
  <si>
    <t>TAPIRATIBA-SP</t>
  </si>
  <si>
    <t>TAPURAH-MT</t>
  </si>
  <si>
    <t>TAQUARA-RS</t>
  </si>
  <si>
    <t>TAQUARACU DE MINAS-MG</t>
  </si>
  <si>
    <t>TAQUARAL-SP</t>
  </si>
  <si>
    <t>TAQUARAL DE GOIAS-GO</t>
  </si>
  <si>
    <t>TAQUARANA-AL</t>
  </si>
  <si>
    <t>TAQUARI-RS</t>
  </si>
  <si>
    <t>TAQUARITINGA-SP</t>
  </si>
  <si>
    <t>TAQUARITINGA DO NORTE-PE</t>
  </si>
  <si>
    <t>TAQUARITUBA-SP</t>
  </si>
  <si>
    <t>TAQUARIVAI-SP</t>
  </si>
  <si>
    <t>TAQUARUCU DO SUL-RS</t>
  </si>
  <si>
    <t>TAQUARUSSU-MS</t>
  </si>
  <si>
    <t>TARABAI-SP</t>
  </si>
  <si>
    <t>TARAUACA-AC</t>
  </si>
  <si>
    <t>TARRAFAS-CE</t>
  </si>
  <si>
    <t>TARTARUGALZINHO-AP</t>
  </si>
  <si>
    <t>TARUMA-SP</t>
  </si>
  <si>
    <t>TARUMIRIM-MG</t>
  </si>
  <si>
    <t>TASSO FRAGOSO-MA</t>
  </si>
  <si>
    <t>TATUI-SP</t>
  </si>
  <si>
    <t>TAUA-CE</t>
  </si>
  <si>
    <t>TAUBATE-SP</t>
  </si>
  <si>
    <t>TAVARES-PB</t>
  </si>
  <si>
    <t>TAVARES-RS</t>
  </si>
  <si>
    <t>TEFE-AM</t>
  </si>
  <si>
    <t>TEIXEIRA-PB</t>
  </si>
  <si>
    <t>TEIXEIRA DE FREITAS-BA</t>
  </si>
  <si>
    <t>TEIXEIRA SOARES-PR</t>
  </si>
  <si>
    <t>TEIXEIRAS-MG</t>
  </si>
  <si>
    <t>TEIXEIROPOLIS-RO</t>
  </si>
  <si>
    <t>TEJUCUOCA-CE</t>
  </si>
  <si>
    <t>TEJUPA-SP</t>
  </si>
  <si>
    <t>TELEMACO BORBA-PR</t>
  </si>
  <si>
    <t>TELHA-SE</t>
  </si>
  <si>
    <t>TENENTE ANANIAS-RN</t>
  </si>
  <si>
    <t>TENENTE LAURENTINO CRUZ-RN</t>
  </si>
  <si>
    <t>TENENTE PORTELA-RS</t>
  </si>
  <si>
    <t>TENORIO-PB</t>
  </si>
  <si>
    <t>TEODORO SAMPAIO-BA</t>
  </si>
  <si>
    <t>TEODORO SAMPAIO-SP</t>
  </si>
  <si>
    <t>TEOFILANDIA-BA</t>
  </si>
  <si>
    <t>TEOFILO OTONI-MG</t>
  </si>
  <si>
    <t>TEOLANDIA-BA</t>
  </si>
  <si>
    <t>TEOTONIO VILELA-AL</t>
  </si>
  <si>
    <t>TERENOS-MS</t>
  </si>
  <si>
    <t>TERESINA-PI</t>
  </si>
  <si>
    <t>TERESINA DE GOIAS-GO</t>
  </si>
  <si>
    <t>TERESOPOLIS-RJ</t>
  </si>
  <si>
    <t>TEREZINHA-PE</t>
  </si>
  <si>
    <t>TEREZOPOLIS DE GOIAS-GO</t>
  </si>
  <si>
    <t>TERRA ALTA-PA</t>
  </si>
  <si>
    <t>TERRA BOA-PR</t>
  </si>
  <si>
    <t>TERRA DE AREIA-RS</t>
  </si>
  <si>
    <t>TERRA NOVA-BA</t>
  </si>
  <si>
    <t>TERRA NOVA-PE</t>
  </si>
  <si>
    <t>TERRA NOVA DO NORTE-MT</t>
  </si>
  <si>
    <t>TERRA RICA-PR</t>
  </si>
  <si>
    <t>TERRA ROXA-PR</t>
  </si>
  <si>
    <t>TERRA ROXA-SP</t>
  </si>
  <si>
    <t>TERRA SANTA-PA</t>
  </si>
  <si>
    <t>TESOURO-MT</t>
  </si>
  <si>
    <t>TEUTONIA-RS</t>
  </si>
  <si>
    <t>THEOBROMA-RO</t>
  </si>
  <si>
    <t>TIANGUA-CE</t>
  </si>
  <si>
    <t>TIBAGI-PR</t>
  </si>
  <si>
    <t>TIBAU-RN</t>
  </si>
  <si>
    <t>TIBAU DO SUL-RN</t>
  </si>
  <si>
    <t>TIETE-SP</t>
  </si>
  <si>
    <t>TIGRINHOS-SC</t>
  </si>
  <si>
    <t>TIJUCAS-SC</t>
  </si>
  <si>
    <t>TIJUCAS DO SUL-PR</t>
  </si>
  <si>
    <t>TIMBAUBA-PE</t>
  </si>
  <si>
    <t>TIMBAUBA DOS BATISTAS-RN</t>
  </si>
  <si>
    <t>TIMBE DO SUL-SC</t>
  </si>
  <si>
    <t>TIMBIRAS-MA</t>
  </si>
  <si>
    <t>TIMBO-SC</t>
  </si>
  <si>
    <t>TIMBO GRANDE-SC</t>
  </si>
  <si>
    <t>TIMBURI-SP</t>
  </si>
  <si>
    <t>TIMON-MA</t>
  </si>
  <si>
    <t>TIMOTEO-MG</t>
  </si>
  <si>
    <t>TIO HUGO-RS</t>
  </si>
  <si>
    <t>TIRADENTES-MG</t>
  </si>
  <si>
    <t>TIRADENTES DO SUL-RS</t>
  </si>
  <si>
    <t>TIROS-MG</t>
  </si>
  <si>
    <t>TOBIAS BARRETO-SE</t>
  </si>
  <si>
    <t>TOCANTINIA-TO</t>
  </si>
  <si>
    <t>TOCANTINOPOLIS-TO</t>
  </si>
  <si>
    <t>TOCANTINS-MG</t>
  </si>
  <si>
    <t>TOCOS DO MOJI-MG</t>
  </si>
  <si>
    <t>TOLEDO-MG</t>
  </si>
  <si>
    <t>TOLEDO-PR</t>
  </si>
  <si>
    <t>TOMAR DO GERU-SE</t>
  </si>
  <si>
    <t>TOMAZINA-PR</t>
  </si>
  <si>
    <t>TOMBOS-MG</t>
  </si>
  <si>
    <t>TOME-ACU-PA</t>
  </si>
  <si>
    <t>TONANTINS-AM</t>
  </si>
  <si>
    <t>TORITAMA-PE</t>
  </si>
  <si>
    <t>TORIXOREU-MT</t>
  </si>
  <si>
    <t>TOROPI-RS</t>
  </si>
  <si>
    <t>TORRE DE PEDRA-SP</t>
  </si>
  <si>
    <t>TORRES-RS</t>
  </si>
  <si>
    <t>TORRINHA-SP</t>
  </si>
  <si>
    <t>TOUROS-RN</t>
  </si>
  <si>
    <t>TRABIJU-SP</t>
  </si>
  <si>
    <t>TRACUATEUA-PA</t>
  </si>
  <si>
    <t>TRACUNHAEM-PE</t>
  </si>
  <si>
    <t>TRAIPU-AL</t>
  </si>
  <si>
    <t>TRAIRAO-PA</t>
  </si>
  <si>
    <t>TRAIRI-CE</t>
  </si>
  <si>
    <t>TRAJANO DE MORAES-RJ</t>
  </si>
  <si>
    <t>TRAMANDAI-RS</t>
  </si>
  <si>
    <t>TRAVESSEIRO-RS</t>
  </si>
  <si>
    <t>TREMEDAL-BA</t>
  </si>
  <si>
    <t>TREMEMBE-SP</t>
  </si>
  <si>
    <t>TRES ARROIOS-RS</t>
  </si>
  <si>
    <t>TRES BARRAS-SC</t>
  </si>
  <si>
    <t>TRES BARRAS DO PARANA-PR</t>
  </si>
  <si>
    <t>TRES CACHOEIRAS-RS</t>
  </si>
  <si>
    <t>TRES CORACOES-MG</t>
  </si>
  <si>
    <t>TRES COROAS-RS</t>
  </si>
  <si>
    <t>TRES DE MAIO-RS</t>
  </si>
  <si>
    <t>TRES FORQUILHAS-RS</t>
  </si>
  <si>
    <t>TRES FRONTEIRAS-SP</t>
  </si>
  <si>
    <t>TRES LAGOAS-MS</t>
  </si>
  <si>
    <t>TRES MARIAS-MG</t>
  </si>
  <si>
    <t>TRES PALMEIRAS-RS</t>
  </si>
  <si>
    <t>TRES PASSOS-RS</t>
  </si>
  <si>
    <t>TRES PONTAS-MG</t>
  </si>
  <si>
    <t>TRES RANCHOS-GO</t>
  </si>
  <si>
    <t>TRES RIOS-RJ</t>
  </si>
  <si>
    <t>TREVISO-SC</t>
  </si>
  <si>
    <t>TREZE DE MAIO-SC</t>
  </si>
  <si>
    <t>TREZE TILIAS-SC</t>
  </si>
  <si>
    <t>TRINDADE-GO</t>
  </si>
  <si>
    <t>TRINDADE-PE</t>
  </si>
  <si>
    <t>TRINDADE DO SUL-RS</t>
  </si>
  <si>
    <t>TRIUNFO-PB</t>
  </si>
  <si>
    <t>TRIUNFO-PE</t>
  </si>
  <si>
    <t>TRIUNFO-RS</t>
  </si>
  <si>
    <t>TRIUNFO POTIGUAR-RN</t>
  </si>
  <si>
    <t>TRIZIDELA DO VALE-MA</t>
  </si>
  <si>
    <t>TROMBAS-GO</t>
  </si>
  <si>
    <t>TROMBUDO CENTRAL-SC</t>
  </si>
  <si>
    <t>TUBARAO-SC</t>
  </si>
  <si>
    <t>TUCANO-BA</t>
  </si>
  <si>
    <t>TUCUMA-PA</t>
  </si>
  <si>
    <t>TUCUNDUVA-RS</t>
  </si>
  <si>
    <t>TUCURUI-PA</t>
  </si>
  <si>
    <t>TUFILANDIA-MA</t>
  </si>
  <si>
    <t>TUIUTI-SP</t>
  </si>
  <si>
    <t>TUMIRITINGA-MG</t>
  </si>
  <si>
    <t>TUNAPOLIS-SC</t>
  </si>
  <si>
    <t>TUNAS-RS</t>
  </si>
  <si>
    <t>TUNAS DO PARANA-PR</t>
  </si>
  <si>
    <t>TUNEIRAS DO OESTE-PR</t>
  </si>
  <si>
    <t>TUNTUM-MA</t>
  </si>
  <si>
    <t>TUPA-SP</t>
  </si>
  <si>
    <t>TUPACIGUARA-MG</t>
  </si>
  <si>
    <t>TUPANATINGA-PE</t>
  </si>
  <si>
    <t>TUPANCI DO SUL-RS</t>
  </si>
  <si>
    <t>TUPANCIRETA-RS</t>
  </si>
  <si>
    <t>TUPANDI-RS</t>
  </si>
  <si>
    <t>TUPARENDI-RS</t>
  </si>
  <si>
    <t>TUPARETAMA-PE</t>
  </si>
  <si>
    <t>TUPASSI-PR</t>
  </si>
  <si>
    <t>TUPI PAULISTA-SP</t>
  </si>
  <si>
    <t>TUPIRAMA-TO</t>
  </si>
  <si>
    <t>TUPIRATINS-TO</t>
  </si>
  <si>
    <t>TURIACU-MA</t>
  </si>
  <si>
    <t>TURILANDIA-MA</t>
  </si>
  <si>
    <t>TURIUBA-SP</t>
  </si>
  <si>
    <t>TURMALINA-MG</t>
  </si>
  <si>
    <t>TURMALINA-SP</t>
  </si>
  <si>
    <t>TURUCU-RS</t>
  </si>
  <si>
    <t>TURURU-CE</t>
  </si>
  <si>
    <t>TURVANIA-GO</t>
  </si>
  <si>
    <t>TURVELANDIA-GO</t>
  </si>
  <si>
    <t>TURVO-PR</t>
  </si>
  <si>
    <t>TURVO-SC</t>
  </si>
  <si>
    <t>TURVOLANDIA-MG</t>
  </si>
  <si>
    <t>TUTOIA-MA</t>
  </si>
  <si>
    <t>UARINI-AM</t>
  </si>
  <si>
    <t>UAUA-BA</t>
  </si>
  <si>
    <t>UBA-MG</t>
  </si>
  <si>
    <t>UBAI-MG</t>
  </si>
  <si>
    <t>UBAIRA-BA</t>
  </si>
  <si>
    <t>UBAITABA-BA</t>
  </si>
  <si>
    <t>UBAJARA-CE</t>
  </si>
  <si>
    <t>UBAPORANGA-MG</t>
  </si>
  <si>
    <t>UBARANA-SP</t>
  </si>
  <si>
    <t>UBATA-BA</t>
  </si>
  <si>
    <t>UBATUBA-SP</t>
  </si>
  <si>
    <t>UBERABA-MG</t>
  </si>
  <si>
    <t>UBERLANDIA-MG</t>
  </si>
  <si>
    <t>UBIRAJARA-SP</t>
  </si>
  <si>
    <t>UBIRATA-PR</t>
  </si>
  <si>
    <t>UBIRETAMA-RS</t>
  </si>
  <si>
    <t>UCHOA-SP</t>
  </si>
  <si>
    <t>UIBAI-BA</t>
  </si>
  <si>
    <t>UIRAMUTA-RR</t>
  </si>
  <si>
    <t>UIRAPURU-GO</t>
  </si>
  <si>
    <t>UIRAUNA-PB</t>
  </si>
  <si>
    <t>ULIANOPOLIS-PA</t>
  </si>
  <si>
    <t>UMARI-CE</t>
  </si>
  <si>
    <t>UMARIZAL-RN</t>
  </si>
  <si>
    <t>UMBAUBA-SE</t>
  </si>
  <si>
    <t>UMBURANAS-BA</t>
  </si>
  <si>
    <t>UMBURATIBA-MG</t>
  </si>
  <si>
    <t>UMBUZEIRO-PB</t>
  </si>
  <si>
    <t>UMIRIM-CE</t>
  </si>
  <si>
    <t>UMUARAMA-PR</t>
  </si>
  <si>
    <t>UNA-BA</t>
  </si>
  <si>
    <t>UNAI-MG</t>
  </si>
  <si>
    <t>UNIAO-PI</t>
  </si>
  <si>
    <t>UNIAO DA SERRA-RS</t>
  </si>
  <si>
    <t>UNIAO DA VITORIA-PR</t>
  </si>
  <si>
    <t>UNIAO DE MINAS-MG</t>
  </si>
  <si>
    <t>UNIAO DO OESTE-SC</t>
  </si>
  <si>
    <t>UNIAO DO SUL-MT</t>
  </si>
  <si>
    <t>UNIAO DOS PALMARES-AL</t>
  </si>
  <si>
    <t>UNIAO PAULISTA-SP</t>
  </si>
  <si>
    <t>UNIFLOR-PR</t>
  </si>
  <si>
    <t>UNISTALDA-RS</t>
  </si>
  <si>
    <t>UPANEMA-RN</t>
  </si>
  <si>
    <t>URAI-PR</t>
  </si>
  <si>
    <t>URANDI-BA</t>
  </si>
  <si>
    <t>URANIA-SP</t>
  </si>
  <si>
    <t>URBANO SANTOS-MA</t>
  </si>
  <si>
    <t>URU-SP</t>
  </si>
  <si>
    <t>URUACU-GO</t>
  </si>
  <si>
    <t>URUANA-GO</t>
  </si>
  <si>
    <t>URUANA DE MINAS-MG</t>
  </si>
  <si>
    <t>URUARA-PA</t>
  </si>
  <si>
    <t>URUBICI-SC</t>
  </si>
  <si>
    <t>URUBURETAMA-CE</t>
  </si>
  <si>
    <t>URUCANIA-MG</t>
  </si>
  <si>
    <t>URUCARA-AM</t>
  </si>
  <si>
    <t>URUCUCA-BA</t>
  </si>
  <si>
    <t>URUCUI-PI</t>
  </si>
  <si>
    <t>URUCUIA-MG</t>
  </si>
  <si>
    <t>URUCURITUBA-AM</t>
  </si>
  <si>
    <t>URUGUAIANA-RS</t>
  </si>
  <si>
    <t>URUOCA-CE</t>
  </si>
  <si>
    <t>URUPA-RO</t>
  </si>
  <si>
    <t>URUPEMA-SC</t>
  </si>
  <si>
    <t>URUPES-SP</t>
  </si>
  <si>
    <t>URUSSANGA-SC</t>
  </si>
  <si>
    <t>URUTAI-GO</t>
  </si>
  <si>
    <t>UTINGA-BA</t>
  </si>
  <si>
    <t>VACARIA-RS</t>
  </si>
  <si>
    <t>VALE DE SAO DOMINGOS-MT</t>
  </si>
  <si>
    <t>VALE DO ANARI-RO</t>
  </si>
  <si>
    <t>VALE DO PARAISO-RO</t>
  </si>
  <si>
    <t>VALE DO SOL-RS</t>
  </si>
  <si>
    <t>VALE REAL-RS</t>
  </si>
  <si>
    <t>VALE VERDE-RS</t>
  </si>
  <si>
    <t>VALENCA-BA</t>
  </si>
  <si>
    <t>VALENCA-RJ</t>
  </si>
  <si>
    <t>VALENCA DO PIAUI-PI</t>
  </si>
  <si>
    <t>VALENTE-BA</t>
  </si>
  <si>
    <t>VALENTIM GENTIL-SP</t>
  </si>
  <si>
    <t>VALINHOS-SP</t>
  </si>
  <si>
    <t>VALPARAISO-SP</t>
  </si>
  <si>
    <t>VALPARAISO DE GOIAS-GO</t>
  </si>
  <si>
    <t>VANINI-RS</t>
  </si>
  <si>
    <t>VARGEAO-SC</t>
  </si>
  <si>
    <t>VARGEM-SC</t>
  </si>
  <si>
    <t>VARGEM-SP</t>
  </si>
  <si>
    <t>VARGEM ALEGRE-MG</t>
  </si>
  <si>
    <t>VARGEM ALTA-ES</t>
  </si>
  <si>
    <t>VARGEM BONITA-MG</t>
  </si>
  <si>
    <t>VARGEM BONITA-SC</t>
  </si>
  <si>
    <t>VARGEM GRANDE-MA</t>
  </si>
  <si>
    <t>VARGEM GRANDE DO RIO PARDO-MG</t>
  </si>
  <si>
    <t>VARGEM GRANDE DO SUL-SP</t>
  </si>
  <si>
    <t>VARGEM GRANDE PAULISTA-SP</t>
  </si>
  <si>
    <t>VARGINHA-MG</t>
  </si>
  <si>
    <t>VARJAO-GO</t>
  </si>
  <si>
    <t>VARJAO DE MINAS-MG</t>
  </si>
  <si>
    <t>VARJOTA-CE</t>
  </si>
  <si>
    <t>VARRE-SAI-RJ</t>
  </si>
  <si>
    <t>VARZEA-PB</t>
  </si>
  <si>
    <t>VARZEA-RN</t>
  </si>
  <si>
    <t>VARZEA ALEGRE-CE</t>
  </si>
  <si>
    <t>VARZEA BRANCA-PI</t>
  </si>
  <si>
    <t>VARZEA DA PALMA-MG</t>
  </si>
  <si>
    <t>VARZEA DA ROCA-BA</t>
  </si>
  <si>
    <t>VARZEA DO POCO-BA</t>
  </si>
  <si>
    <t>VARZEA GRANDE-MT</t>
  </si>
  <si>
    <t>VARZEA GRANDE-PI</t>
  </si>
  <si>
    <t>VARZEA NOVA-BA</t>
  </si>
  <si>
    <t>VARZEA PAULISTA-SP</t>
  </si>
  <si>
    <t>VARZEDO-BA</t>
  </si>
  <si>
    <t>VARZELANDIA-MG</t>
  </si>
  <si>
    <t>VASSOURAS-RJ</t>
  </si>
  <si>
    <t>VAZANTE-MG</t>
  </si>
  <si>
    <t>VENANCIO AIRES-RS</t>
  </si>
  <si>
    <t>VENDA NOVA DO IMIGRANTE-ES</t>
  </si>
  <si>
    <t>VENHA-VER-RN</t>
  </si>
  <si>
    <t>VENTANIA-PR</t>
  </si>
  <si>
    <t>VENTUROSA-PE</t>
  </si>
  <si>
    <t>VERA-MT</t>
  </si>
  <si>
    <t>VERA CRUZ-BA</t>
  </si>
  <si>
    <t>VERA CRUZ-RN</t>
  </si>
  <si>
    <t>VERA CRUZ-RS</t>
  </si>
  <si>
    <t>VERA CRUZ-SP</t>
  </si>
  <si>
    <t>VERA CRUZ DO OESTE-PR</t>
  </si>
  <si>
    <t>VERA MENDES-PI</t>
  </si>
  <si>
    <t>VERANOPOLIS-RS</t>
  </si>
  <si>
    <t>VERDEJANTE-PE</t>
  </si>
  <si>
    <t>VERDELANDIA-MG</t>
  </si>
  <si>
    <t>VERE-PR</t>
  </si>
  <si>
    <t>VEREDA-BA</t>
  </si>
  <si>
    <t>VEREDINHA-MG</t>
  </si>
  <si>
    <t>VERISSIMO-MG</t>
  </si>
  <si>
    <t>VERMELHO NOVO-MG</t>
  </si>
  <si>
    <t>VERTENTE DO LERIO-PE</t>
  </si>
  <si>
    <t>VERTENTES-PE</t>
  </si>
  <si>
    <t>VESPASIANO-MG</t>
  </si>
  <si>
    <t>VESPASIANO CORREA-RS</t>
  </si>
  <si>
    <t>VIADUTOS-RS</t>
  </si>
  <si>
    <t>VIAMAO-RS</t>
  </si>
  <si>
    <t>VIANA-ES</t>
  </si>
  <si>
    <t>VIANA-MA</t>
  </si>
  <si>
    <t>VIANOPOLIS-GO</t>
  </si>
  <si>
    <t>VICENCIA-PE</t>
  </si>
  <si>
    <t>VICENTE DUTRA-RS</t>
  </si>
  <si>
    <t>VICENTINA-MS</t>
  </si>
  <si>
    <t>VICENTINOPOLIS-GO</t>
  </si>
  <si>
    <t>VICOSA-AL</t>
  </si>
  <si>
    <t>VICOSA-MG</t>
  </si>
  <si>
    <t>VICOSA-RN</t>
  </si>
  <si>
    <t>VICOSA DO CEARA-CE</t>
  </si>
  <si>
    <t>VICTOR GRAEFF-RS</t>
  </si>
  <si>
    <t>VIDAL RAMOS-SC</t>
  </si>
  <si>
    <t>VIDEIRA-SC</t>
  </si>
  <si>
    <t>VIEIRAS-MG</t>
  </si>
  <si>
    <t>VIEIROPOLIS-PB</t>
  </si>
  <si>
    <t>VIGIA-PA</t>
  </si>
  <si>
    <t>VILA BELA DA SANTISSIMA TRINDADE-MT</t>
  </si>
  <si>
    <t>VILA BOA-GO</t>
  </si>
  <si>
    <t>VILA FLOR-RN</t>
  </si>
  <si>
    <t>VILA FLORES-RS</t>
  </si>
  <si>
    <t>VILA LANGARO-RS</t>
  </si>
  <si>
    <t>VILA MARIA-RS</t>
  </si>
  <si>
    <t>VILA NOVA DO PIAUI-PI</t>
  </si>
  <si>
    <t>VILA NOVA DO SUL-RS</t>
  </si>
  <si>
    <t>VILA NOVA DOS MARTIRIOS-MA</t>
  </si>
  <si>
    <t>VILA PAVAO-ES</t>
  </si>
  <si>
    <t>VILA PROPICIO-GO</t>
  </si>
  <si>
    <t>VILA RICA-MT</t>
  </si>
  <si>
    <t>VILA VALERIO-ES</t>
  </si>
  <si>
    <t>VILA VELHA-ES</t>
  </si>
  <si>
    <t>VILHENA-RO</t>
  </si>
  <si>
    <t>VINHEDO-SP</t>
  </si>
  <si>
    <t>VIRADOURO-SP</t>
  </si>
  <si>
    <t>VIRGEM DA LAPA-MG</t>
  </si>
  <si>
    <t>VIRGINIA-MG</t>
  </si>
  <si>
    <t>VIRGINOPOLIS-MG</t>
  </si>
  <si>
    <t>VIRGOLANDIA-MG</t>
  </si>
  <si>
    <t>VIRMOND-PR</t>
  </si>
  <si>
    <t>VISCONDE DO RIO BRANCO-MG</t>
  </si>
  <si>
    <t>VISEU-PA</t>
  </si>
  <si>
    <t>VISTA ALEGRE-RS</t>
  </si>
  <si>
    <t>VISTA ALEGRE DO ALTO-SP</t>
  </si>
  <si>
    <t>VISTA ALEGRE DO PRATA-RS</t>
  </si>
  <si>
    <t>VISTA GAUCHA-RS</t>
  </si>
  <si>
    <t>VISTA SERRANA-PB</t>
  </si>
  <si>
    <t>VITOR MEIRELES-SC</t>
  </si>
  <si>
    <t>VITORIA-ES</t>
  </si>
  <si>
    <t>VITORIA BRASIL-SP</t>
  </si>
  <si>
    <t>VITORIA DA CONQUISTA-BA</t>
  </si>
  <si>
    <t>VITORIA DAS MISSOES-RS</t>
  </si>
  <si>
    <t>VITORIA DE SANTO ANTAO-PE</t>
  </si>
  <si>
    <t>VITORIA DO JARI-AP</t>
  </si>
  <si>
    <t>VITORIA DO MEARIM-MA</t>
  </si>
  <si>
    <t>VITORIA DO XINGU-PA</t>
  </si>
  <si>
    <t>VITORINO-PR</t>
  </si>
  <si>
    <t>VITORINO FREIRE-MA</t>
  </si>
  <si>
    <t>VOLTA GRANDE-MG</t>
  </si>
  <si>
    <t>VOLTA REDONDA-RJ</t>
  </si>
  <si>
    <t>VOTORANTIM-SP</t>
  </si>
  <si>
    <t>VOTUPORANGA-SP</t>
  </si>
  <si>
    <t>WAGNER-BA</t>
  </si>
  <si>
    <t>WALL FERRAZ-PI</t>
  </si>
  <si>
    <t>WANDERLANDIA-TO</t>
  </si>
  <si>
    <t>WANDERLEY-BA</t>
  </si>
  <si>
    <t>WENCESLAU BRAZ-MG</t>
  </si>
  <si>
    <t>WENCESLAU BRAZ-PR</t>
  </si>
  <si>
    <t>WENCESLAU GUIMARAES-BA</t>
  </si>
  <si>
    <t>WESTFALIA-RS</t>
  </si>
  <si>
    <t>WITMARSUM-SC</t>
  </si>
  <si>
    <t>XAMBIOA-TO</t>
  </si>
  <si>
    <t>XAMBRE-PR</t>
  </si>
  <si>
    <t>XANGRI-LA-RS</t>
  </si>
  <si>
    <t>XANXERE-SC</t>
  </si>
  <si>
    <t>XAPURI-AC</t>
  </si>
  <si>
    <t>XAVANTINA-SC</t>
  </si>
  <si>
    <t>XAXIM-SC</t>
  </si>
  <si>
    <t>XEXEU-PE</t>
  </si>
  <si>
    <t>XINGUARA-PA</t>
  </si>
  <si>
    <t>XIQUE-XIQUE-BA</t>
  </si>
  <si>
    <t>ZABELE-PB</t>
  </si>
  <si>
    <t>ZACARIAS-SP</t>
  </si>
  <si>
    <t>ZE DOCA-MA</t>
  </si>
  <si>
    <t>ZORTEA-SC</t>
  </si>
  <si>
    <t>Origem:</t>
  </si>
  <si>
    <t>Coleta:</t>
  </si>
  <si>
    <t>PRAZO FINALIZAR DEAD LINE (DIAS RESTANTES)</t>
  </si>
  <si>
    <t>Destino:</t>
  </si>
  <si>
    <t>Terminal:</t>
  </si>
  <si>
    <t>Tipo de fardo:</t>
  </si>
  <si>
    <t>Cliente:</t>
  </si>
  <si>
    <t>Volume:</t>
  </si>
  <si>
    <t>Instrução:</t>
  </si>
  <si>
    <t>Carregado</t>
  </si>
  <si>
    <t>FRETE EMP.</t>
  </si>
  <si>
    <t>Dead Line:</t>
  </si>
  <si>
    <t>Saldo</t>
  </si>
  <si>
    <t>PLACA</t>
  </si>
  <si>
    <t>TIPO VEIC.</t>
  </si>
  <si>
    <t>FRETE MOT.</t>
  </si>
  <si>
    <t>QTD. FARDOS</t>
  </si>
  <si>
    <t>DATA</t>
  </si>
  <si>
    <t>DATA
LIBERAÇÃO</t>
  </si>
  <si>
    <t>CLIENTE</t>
  </si>
  <si>
    <t>FILIAL</t>
  </si>
  <si>
    <t>COLETA</t>
  </si>
  <si>
    <t>DESTINO</t>
  </si>
  <si>
    <t>FRETE
EMP.</t>
  </si>
  <si>
    <t>TOTAL
FARDOS</t>
  </si>
  <si>
    <t>INSTRUÇÃO</t>
  </si>
  <si>
    <t>DEAD LINE</t>
  </si>
  <si>
    <t>PRAZO
(DIAS)</t>
  </si>
  <si>
    <t>TERMINAL</t>
  </si>
  <si>
    <t>TIPO DE FARDO</t>
  </si>
  <si>
    <t>A CARREGAR</t>
  </si>
  <si>
    <t>OBSERVAÇÃO</t>
  </si>
  <si>
    <t>FARDOS</t>
  </si>
  <si>
    <t>ALG ITAQUERE</t>
  </si>
  <si>
    <t>DALASTRA</t>
  </si>
  <si>
    <t>FARDINHO</t>
  </si>
  <si>
    <t>ALG S COTTON</t>
  </si>
  <si>
    <t>S07453-MÃE-JAN-01</t>
  </si>
  <si>
    <t>ALAMO</t>
  </si>
  <si>
    <t>PENDENTE</t>
  </si>
  <si>
    <t>RODO-M37-JAN26-13</t>
  </si>
  <si>
    <t>ISIS</t>
  </si>
  <si>
    <t>ALG MARAPÉ</t>
  </si>
  <si>
    <t>WH-CONLINE-NOV25-16-SLM37</t>
  </si>
  <si>
    <t>CONLINE</t>
  </si>
  <si>
    <t>FARDÃO</t>
  </si>
  <si>
    <t>RODO-M36-JAN26-08</t>
  </si>
  <si>
    <t>RODO-M37-JAN26-07</t>
  </si>
  <si>
    <t>MEDLOG</t>
  </si>
  <si>
    <t>ALG RAFAELA</t>
  </si>
  <si>
    <t>S/BR/49</t>
  </si>
  <si>
    <t>BRADO</t>
  </si>
  <si>
    <t>ALG TRES LAGOAS</t>
  </si>
  <si>
    <t>S07153-A-JAN-01</t>
  </si>
  <si>
    <t>SIGMA</t>
  </si>
  <si>
    <t>ALG INDIO POSSESSO</t>
  </si>
  <si>
    <t>RDN-EXP-RDN-25-AL114</t>
  </si>
  <si>
    <t>LDC</t>
  </si>
  <si>
    <t>ALG SANTO ANTONIO</t>
  </si>
  <si>
    <t>RDN-DOM-ANP-25-AL111</t>
  </si>
  <si>
    <t>ALG LUCAS COTTON</t>
  </si>
  <si>
    <t>25424HK-04A</t>
  </si>
  <si>
    <t>MOVECITA</t>
  </si>
  <si>
    <t>LOTE CANCELADO PELO CLIENTE</t>
  </si>
  <si>
    <t>ALG HORIZONTINA</t>
  </si>
  <si>
    <t>ALG ELDORADO</t>
  </si>
  <si>
    <t xml:space="preserve">BOA02525 </t>
  </si>
  <si>
    <t>ALG AGROVERA</t>
  </si>
  <si>
    <t>ALG RIO VERDE</t>
  </si>
  <si>
    <t>ALG IPIRANGA</t>
  </si>
  <si>
    <t>ALG COTTON ESPERANÇA</t>
  </si>
  <si>
    <t>250071-04</t>
  </si>
  <si>
    <t>VICUNHA</t>
  </si>
  <si>
    <t xml:space="preserve"> 250071-04</t>
  </si>
  <si>
    <t>ALG 242</t>
  </si>
  <si>
    <t>S07423-MAR-01</t>
  </si>
  <si>
    <t>LUCAS COTTON</t>
  </si>
  <si>
    <t>RODO-M37-JAN26-04</t>
  </si>
  <si>
    <t>ALG NOVA GERAÇÃO</t>
  </si>
  <si>
    <t>RODO-M37-JAN26-11</t>
  </si>
  <si>
    <t>09/0/2026</t>
  </si>
  <si>
    <t>ALG TBM LOG</t>
  </si>
  <si>
    <t>WH_STN_CONSIG-FEV-01-SANTANA</t>
  </si>
  <si>
    <t>SANTANA</t>
  </si>
  <si>
    <t>WH-S07405-JAN-01</t>
  </si>
  <si>
    <t>S07389-JAN-01</t>
  </si>
  <si>
    <t>CORTES</t>
  </si>
  <si>
    <t>S07475-MÃE-FEV-02</t>
  </si>
  <si>
    <t>AF237/2025</t>
  </si>
  <si>
    <t>ALG BC COTTON</t>
  </si>
  <si>
    <t>RODO-M37-JAN26-06-B</t>
  </si>
  <si>
    <t>RDN-EXP-SMGS-25-T531</t>
  </si>
  <si>
    <t>SMAGALHÃES</t>
  </si>
  <si>
    <t>RDN-EXP-SMGS-25-T517</t>
  </si>
  <si>
    <t>ALG PRINCESA</t>
  </si>
  <si>
    <t xml:space="preserve">RODO-M37-JAN26-08 </t>
  </si>
  <si>
    <t>ALG COOPERPLUMA UBA I</t>
  </si>
  <si>
    <t xml:space="preserve">S07508-FEV-01 </t>
  </si>
  <si>
    <t>ALG COOPERBEM</t>
  </si>
  <si>
    <t xml:space="preserve">S07414-C-MAR-MÃE-01 </t>
  </si>
  <si>
    <t xml:space="preserve"> WH-S07528-A-MÃE-FEV-01 </t>
  </si>
  <si>
    <t xml:space="preserve"> S07469-MÃE-JAN-01 </t>
  </si>
  <si>
    <t xml:space="preserve"> S07499-MÃE-JAN-01 </t>
  </si>
  <si>
    <t xml:space="preserve">S07466-MÃE-FEV-01 </t>
  </si>
  <si>
    <t xml:space="preserve"> WH-RD-S07414-M37-FEV-02 </t>
  </si>
  <si>
    <t xml:space="preserve"> S07469-MÃE-FEV-02 </t>
  </si>
  <si>
    <t xml:space="preserve"> RODO-M37-FEV-04 </t>
  </si>
  <si>
    <t xml:space="preserve">S07521-FEV-01 </t>
  </si>
  <si>
    <t xml:space="preserve">S07466-FEV-01 </t>
  </si>
  <si>
    <t>ALG PRANTE</t>
  </si>
  <si>
    <t xml:space="preserve">WH-S07433-B-HCMC-FEV-01 </t>
  </si>
  <si>
    <t xml:space="preserve"> ALG DAGHETTI COTTON </t>
  </si>
  <si>
    <t xml:space="preserve">S07469-MÃE-JAN-01 </t>
  </si>
  <si>
    <t>ALG G4 COTTON</t>
  </si>
  <si>
    <t xml:space="preserve">S07305-FEB-02 </t>
  </si>
  <si>
    <t xml:space="preserve">WH-COOPERBEM-DEC-01 </t>
  </si>
  <si>
    <t>ALG COTTON JORGE</t>
  </si>
  <si>
    <t xml:space="preserve"> S07479-MAR-A-03 </t>
  </si>
  <si>
    <t xml:space="preserve"> S07291-MÃE-JAN-01-B </t>
  </si>
  <si>
    <t>ALG UBA II</t>
  </si>
  <si>
    <t>ALG CT COTTON</t>
  </si>
  <si>
    <t xml:space="preserve">S07291-MÃE-JAN-01-B </t>
  </si>
  <si>
    <t>ALG FISTAROL</t>
  </si>
  <si>
    <t>SI RDN-EXP-RDN-25-AL160</t>
  </si>
  <si>
    <t xml:space="preserve"> CTS-005072025-MAR-01-SAROSS </t>
  </si>
  <si>
    <t>SALTORELLI</t>
  </si>
  <si>
    <t xml:space="preserve"> WH_STN_CONSIG-FEV-02-SANTANA </t>
  </si>
  <si>
    <t>SANTANA TEXTIL</t>
  </si>
  <si>
    <t>SIRON-EXP-3155257016-057-01A</t>
  </si>
  <si>
    <t>EISA</t>
  </si>
  <si>
    <t>CAMPO NOVO-MT</t>
  </si>
  <si>
    <t>ALG COTTON CAMPO</t>
  </si>
  <si>
    <t>SI RDN-EXP-CBT-25-AL158</t>
  </si>
  <si>
    <t>ALG CELESTE</t>
  </si>
  <si>
    <t>SIRON-EXP-3155257015-055-01A</t>
  </si>
  <si>
    <t>SIRON-EXP-3155257015-055-02A</t>
  </si>
  <si>
    <t>ALG FALAVINHA</t>
  </si>
  <si>
    <t>625145/04-001</t>
  </si>
  <si>
    <t>ALG IRACEMA</t>
  </si>
  <si>
    <t>31/032026</t>
  </si>
  <si>
    <t>ALG DAGHETTI COTTON</t>
  </si>
  <si>
    <t xml:space="preserve">WH-TBM-MAR26-05 </t>
  </si>
  <si>
    <t>TBM LOG</t>
  </si>
  <si>
    <t>ALG GFO COTTON</t>
  </si>
  <si>
    <t xml:space="preserve">WH-TBM-MAR26-03 </t>
  </si>
  <si>
    <t xml:space="preserve">WH-TBM-MAR26-06 </t>
  </si>
  <si>
    <t>ALG CÉU AZUL</t>
  </si>
  <si>
    <t>EBKG16354766</t>
  </si>
  <si>
    <t>ALG SANTA TEREZA</t>
  </si>
  <si>
    <t>S51590.A01</t>
  </si>
  <si>
    <t>ALG SCHEFFER</t>
  </si>
  <si>
    <t>S51544.A02</t>
  </si>
  <si>
    <t>S51626.A03</t>
  </si>
  <si>
    <t>DEPOTCE</t>
  </si>
  <si>
    <t>MOVECTA</t>
  </si>
  <si>
    <t>E0-S14661.A01</t>
  </si>
  <si>
    <t>V. 3155260117-A</t>
  </si>
  <si>
    <t>DADOS AGENDAMENTO</t>
  </si>
  <si>
    <t>LOGIN</t>
  </si>
  <si>
    <t>SENHA</t>
  </si>
  <si>
    <t>NG REDEX</t>
  </si>
  <si>
    <r>
      <rPr>
        <rFont val="Calibri"/>
        <color theme="1"/>
      </rPr>
      <t xml:space="preserve">VIA EMAIL
agendamento@granport.com.br, ana.santos@granport.com.br, rogerio.guedes@granport.com.br
</t>
    </r>
    <r>
      <rPr>
        <rFont val="Calibri"/>
        <b/>
        <color theme="1"/>
      </rPr>
      <t>Preencher planilha, anexar romaneio, ticket, nf, xml, cte e ficha motorista.</t>
    </r>
  </si>
  <si>
    <t>SERRA TERMINAIS</t>
  </si>
  <si>
    <r>
      <rPr/>
      <t xml:space="preserve">LINK: </t>
    </r>
    <r>
      <rPr>
        <color rgb="FF1155CC"/>
        <u/>
      </rPr>
      <t>http://redex.serraterminais.com.br:8888/agendamento/</t>
    </r>
  </si>
  <si>
    <t>019.361.981-42</t>
  </si>
  <si>
    <t>GELOG (PAULISTA TERMINAIS)</t>
  </si>
  <si>
    <r>
      <rPr/>
      <t xml:space="preserve">LINK: </t>
    </r>
    <r>
      <rPr>
        <color rgb="FF1155CC"/>
        <u/>
      </rPr>
      <t>https://www.microled.app.br/gelog/agendamento/Login.aspx</t>
    </r>
  </si>
  <si>
    <t>gelog2024</t>
  </si>
  <si>
    <t>ISIS TERMINAIS</t>
  </si>
  <si>
    <r>
      <rPr/>
      <t xml:space="preserve">LINK: </t>
    </r>
    <r>
      <rPr>
        <color rgb="FF1155CC"/>
        <u/>
      </rPr>
      <t>http://agendamento.isisredex.com.br/Patio1/</t>
    </r>
  </si>
  <si>
    <t>017.774.112-03</t>
  </si>
  <si>
    <t>DINAMO</t>
  </si>
  <si>
    <r>
      <rPr/>
      <t xml:space="preserve">LINK: </t>
    </r>
    <r>
      <rPr>
        <color rgb="FF1155CC"/>
        <u/>
      </rPr>
      <t>http://redex.grupodinamo.com.br:8980/agendamentoredex2/</t>
    </r>
  </si>
  <si>
    <t>061.988.851-27</t>
  </si>
  <si>
    <t>TSL</t>
  </si>
  <si>
    <r>
      <rPr/>
      <t xml:space="preserve">LINK: </t>
    </r>
    <r>
      <rPr>
        <color rgb="FF1155CC"/>
        <u/>
      </rPr>
      <t>http://redex.tslredex.com.br/AgendamentoRedex/</t>
    </r>
  </si>
  <si>
    <t>044.508.931-82</t>
  </si>
  <si>
    <r>
      <rPr/>
      <t xml:space="preserve">LINK: </t>
    </r>
    <r>
      <rPr>
        <color rgb="FF1155CC"/>
        <u/>
      </rPr>
      <t>http://www.dalastra.com.br/agendamentoredex</t>
    </r>
  </si>
  <si>
    <t>CORTÊS</t>
  </si>
  <si>
    <r>
      <rPr/>
      <t xml:space="preserve">LINK: </t>
    </r>
    <r>
      <rPr>
        <color rgb="FF1155CC"/>
        <u/>
      </rPr>
      <t>http://agendamento.cortes.com.br/Default.aspx</t>
    </r>
    <r>
      <rPr/>
      <t xml:space="preserve">
CNPJ: 38948791000159</t>
    </r>
  </si>
  <si>
    <t>FIBRAFORTE</t>
  </si>
  <si>
    <t>UXBPBKXP</t>
  </si>
  <si>
    <t>TMDL</t>
  </si>
  <si>
    <r>
      <rPr/>
      <t xml:space="preserve">LINK: </t>
    </r>
    <r>
      <rPr>
        <color rgb="FF1155CC"/>
        <u/>
      </rPr>
      <t>https://agendamento.tmdl.com.br/Login.aspx</t>
    </r>
  </si>
  <si>
    <t>fibraforte</t>
  </si>
  <si>
    <t>DEPOTCE (CESARI)</t>
  </si>
  <si>
    <r>
      <rPr/>
      <t xml:space="preserve">LINK: </t>
    </r>
    <r>
      <rPr>
        <color rgb="FF1155CC"/>
        <u/>
      </rPr>
      <t>https://app.depotce.com.br/agendamentoAG/</t>
    </r>
  </si>
  <si>
    <t>DEPOTCE (CESARI) VIA PORTAL SILO</t>
  </si>
  <si>
    <r>
      <rPr/>
      <t xml:space="preserve">LINK: </t>
    </r>
    <r>
      <rPr>
        <color rgb="FF1155CC"/>
        <u/>
      </rPr>
      <t>https://silo.magnalogistics.com.br/transportador/dashboard/</t>
    </r>
  </si>
  <si>
    <t>Senha123!</t>
  </si>
  <si>
    <t>MOVECTA (LOCAL FRIO)</t>
  </si>
  <si>
    <r>
      <rPr>
        <rFont val="Calibri"/>
        <color theme="1"/>
      </rPr>
      <t xml:space="preserve">CLIENTE MANDA O LINK DE SOLICITAÇÃO JUNTO COM A LIBERAÇÃO DO FRETE, A SOLICITAÇÃO É PREENCHIDA, E O TERMINAL RETORNA DEPOIS COM O AGENDAMENTO
SE O CLIENTE NÃO MANDAR, SOLICITAMOS VIA EMAIL.
priscila.almoinha@magnalogistics.com.br, atendimento@magnalogistics.com.br 
</t>
    </r>
    <r>
      <rPr>
        <rFont val="Calibri"/>
        <b/>
        <color theme="1"/>
      </rPr>
      <t>ANEXAR PLANILHA E DOCUMENTOS</t>
    </r>
  </si>
  <si>
    <t>UNITRADING LOGISTICA</t>
  </si>
  <si>
    <r>
      <rPr/>
      <t xml:space="preserve">LINK: </t>
    </r>
    <r>
      <rPr>
        <color rgb="FF1155CC"/>
        <u/>
      </rPr>
      <t>https://wmsweb.rasio.com.br/agendamento</t>
    </r>
  </si>
  <si>
    <t>FIBRA FORTE</t>
  </si>
  <si>
    <t>FGGJATCG</t>
  </si>
  <si>
    <t>DELLA VOLPE</t>
  </si>
  <si>
    <r>
      <rPr>
        <rFont val="Calibri"/>
        <color theme="1"/>
      </rPr>
      <t xml:space="preserve">VIA EMAIL: grp.santosimportacao@dellavolpe.com.br, wellington.novo@dellavolpe.com.br, vinicius.blanco@dellavolpe.com.br, bruna.lisboa@dellavolpe.com.br, lucas.viana@dellavolpe.com.br
</t>
    </r>
    <r>
      <rPr>
        <rFont val="Calibri"/>
        <b/>
        <color theme="1"/>
      </rPr>
      <t>Mandar com planilha preenchida, e documentos em anexo.</t>
    </r>
  </si>
  <si>
    <t>BCS CUBATÃO</t>
  </si>
  <si>
    <r>
      <rPr>
        <rFont val="Calibri"/>
        <color theme="1"/>
      </rPr>
      <t xml:space="preserve">VIA EMAIL: expedicao3.terminal@bcsagf.com.br, expedicao8.terminal@bcsagf.com.br, terminal.cbt@bcsagf.com.br, expedicao5.terminal@bcsagf.com.br
</t>
    </r>
    <r>
      <rPr>
        <rFont val="Calibri"/>
        <b/>
        <color theme="1"/>
      </rPr>
      <t>Mandar com planilha preenchida, e documentos em anexo.</t>
    </r>
  </si>
  <si>
    <r>
      <rPr/>
      <t xml:space="preserve">LINK: </t>
    </r>
    <r>
      <rPr>
        <color rgb="FF1155CC"/>
        <u/>
      </rPr>
      <t>https://silo.magnalogistics.com.br/transportador/login/</t>
    </r>
  </si>
  <si>
    <t>AGENDAMENTO POR EMAIL
operacionalsantos@carconbr.com.br; agendamento@alamo.com.br; operacional@jbconex.com.br</t>
  </si>
  <si>
    <r>
      <rPr/>
      <t xml:space="preserve">LINK: </t>
    </r>
    <r>
      <rPr>
        <color rgb="FF1155CC"/>
        <u/>
      </rPr>
      <t>http://54.232.113.39/AgendamentoRedex/</t>
    </r>
  </si>
  <si>
    <t>CONLONE</t>
  </si>
  <si>
    <r>
      <rPr/>
      <t xml:space="preserve">LINK: </t>
    </r>
    <r>
      <rPr>
        <color rgb="FF1155CC"/>
        <u/>
      </rPr>
      <t>http://agendamento.conlinessz.com.br</t>
    </r>
  </si>
  <si>
    <t>140.194.249-00</t>
  </si>
  <si>
    <t>ME DLOG</t>
  </si>
  <si>
    <t>https://medlogdepotweb.mscbr.com.br/SAEWeb/CadMotorista</t>
  </si>
  <si>
    <t>comercial@fibraforte.agr.br</t>
  </si>
  <si>
    <t>lh@x0f</t>
  </si>
  <si>
    <t>QCC0H80</t>
  </si>
  <si>
    <t>QCS8G54</t>
  </si>
  <si>
    <t>QBV9F31</t>
  </si>
  <si>
    <t>QCL1H44</t>
  </si>
  <si>
    <t>QCY6F72</t>
  </si>
  <si>
    <t>PGL9872</t>
  </si>
  <si>
    <t>AXB4E11</t>
  </si>
  <si>
    <t>SQD6D28</t>
  </si>
  <si>
    <t>RAY7E40</t>
  </si>
  <si>
    <t>SQA5H93</t>
  </si>
  <si>
    <t>APW5A07</t>
  </si>
  <si>
    <t xml:space="preserve">QBY9G98 </t>
  </si>
  <si>
    <t>SHX5H64</t>
  </si>
  <si>
    <t>NCC5A49</t>
  </si>
  <si>
    <t>OBL2241</t>
  </si>
  <si>
    <t xml:space="preserve">BTT9E74 </t>
  </si>
  <si>
    <t>NCR9J52</t>
  </si>
  <si>
    <t>EMU6F56</t>
  </si>
  <si>
    <t>BWW1C94</t>
  </si>
  <si>
    <t>QCO9491</t>
  </si>
  <si>
    <t xml:space="preserve">FYC1D52        </t>
  </si>
  <si>
    <t xml:space="preserve">FVI8G80        </t>
  </si>
  <si>
    <t>BCJ1E71</t>
  </si>
  <si>
    <t>MGW0G86</t>
  </si>
  <si>
    <t>SFV0E09</t>
  </si>
  <si>
    <t>OAQ0F20</t>
  </si>
  <si>
    <t>OBN1H74</t>
  </si>
  <si>
    <t>RAY8C53</t>
  </si>
  <si>
    <t>SPT3D30</t>
  </si>
  <si>
    <t>IUS9865</t>
  </si>
  <si>
    <t>RBE8F71</t>
  </si>
  <si>
    <t>OBJ2D07</t>
  </si>
  <si>
    <t>QDU5B97</t>
  </si>
  <si>
    <t>SHI1E26</t>
  </si>
  <si>
    <t>OBR0C42</t>
  </si>
  <si>
    <t>IVT8E30</t>
  </si>
  <si>
    <t xml:space="preserve">MGV8630 </t>
  </si>
  <si>
    <t>AGUARDANDO DESCARGA</t>
  </si>
  <si>
    <t>KAQ7G66</t>
  </si>
  <si>
    <t>FDB0C74</t>
  </si>
  <si>
    <t>BWU9C70</t>
  </si>
  <si>
    <t>APG0163</t>
  </si>
  <si>
    <t>APM0E41</t>
  </si>
  <si>
    <t>GKR7396</t>
  </si>
  <si>
    <t>IPIRANGA DO NORTE/MT</t>
  </si>
  <si>
    <t>ALG. IPIRANGA</t>
  </si>
  <si>
    <t>CUBATÃO/SP</t>
  </si>
  <si>
    <t>S51469.B05</t>
  </si>
  <si>
    <t>13/05 A 15/05</t>
  </si>
  <si>
    <t xml:space="preserve">HTP9G84 </t>
  </si>
  <si>
    <t>QBY9G98</t>
  </si>
  <si>
    <t>QBY7G60</t>
  </si>
  <si>
    <t>RAK6E65</t>
  </si>
  <si>
    <t>QCK1I54</t>
  </si>
  <si>
    <t>TEJ1F10</t>
  </si>
  <si>
    <t>TXB8F06</t>
  </si>
  <si>
    <t>SLZ0J73</t>
  </si>
  <si>
    <t>ANP2J95</t>
  </si>
  <si>
    <t>AWP6J15</t>
  </si>
  <si>
    <t>SQA5D03</t>
  </si>
  <si>
    <t>ONT4277</t>
  </si>
  <si>
    <t>BXF9813</t>
  </si>
  <si>
    <t>RWG1D11</t>
  </si>
  <si>
    <t>SMA7D14</t>
  </si>
  <si>
    <t xml:space="preserve">NDJ3566 </t>
  </si>
  <si>
    <t>PRD0138</t>
  </si>
  <si>
    <t>EVO4155</t>
  </si>
  <si>
    <t>AZO2F35</t>
  </si>
  <si>
    <t>NPO4D55</t>
  </si>
  <si>
    <t>ASM5876</t>
  </si>
  <si>
    <t>QJX4D57</t>
  </si>
  <si>
    <t>BYI3B22</t>
  </si>
  <si>
    <t>RAB1576</t>
  </si>
  <si>
    <t>EKH2920</t>
  </si>
  <si>
    <t>GAF3G10</t>
  </si>
  <si>
    <t>IVG1J45</t>
  </si>
  <si>
    <t>PIX PAGO</t>
  </si>
  <si>
    <t>RRQ1G05</t>
  </si>
  <si>
    <t>OUI3842</t>
  </si>
  <si>
    <t>SWY2B53</t>
  </si>
  <si>
    <t>RHW6B04</t>
  </si>
  <si>
    <t>CARTA FRETE</t>
  </si>
  <si>
    <t>REZ7B09</t>
  </si>
  <si>
    <t>SOLICITADO</t>
  </si>
  <si>
    <t>GXA3269</t>
  </si>
  <si>
    <t>RJX5B70</t>
  </si>
  <si>
    <t>DPE3F31</t>
  </si>
  <si>
    <t>DPF6E35</t>
  </si>
  <si>
    <t>BXH1D48</t>
  </si>
  <si>
    <t>PIX / PAGO</t>
  </si>
  <si>
    <t>GJT0F23</t>
  </si>
  <si>
    <t>IYH5173</t>
  </si>
  <si>
    <t>QQI5E62</t>
  </si>
  <si>
    <t>SPQ9B55</t>
  </si>
  <si>
    <t>UFJ1H39</t>
  </si>
  <si>
    <t>RUN9F79</t>
  </si>
  <si>
    <t>GJT6E71</t>
  </si>
  <si>
    <t>QCL4E86</t>
  </si>
  <si>
    <t>AUV8F09</t>
  </si>
  <si>
    <t>IYC5D89</t>
  </si>
  <si>
    <t>GJS4D97</t>
  </si>
  <si>
    <t>RKM9B00</t>
  </si>
  <si>
    <t xml:space="preserve">CDX5I17 </t>
  </si>
  <si>
    <t>RAC7F96</t>
  </si>
  <si>
    <t>QTL8656</t>
  </si>
  <si>
    <t>FPA8E56</t>
  </si>
  <si>
    <t>OON1J80</t>
  </si>
  <si>
    <t>JDG7E92</t>
  </si>
  <si>
    <t>OZM9J79</t>
  </si>
  <si>
    <t>FFN1H58</t>
  </si>
  <si>
    <t>MIB4I90</t>
  </si>
  <si>
    <t>TXK9C57</t>
  </si>
  <si>
    <t>AZB7A38</t>
  </si>
  <si>
    <t>STI7D82</t>
  </si>
  <si>
    <t>RQQ9E33</t>
  </si>
  <si>
    <t>ASX0I38</t>
  </si>
  <si>
    <t>CF</t>
  </si>
  <si>
    <t>PEDIDO 27620</t>
  </si>
  <si>
    <t xml:space="preserve">HBG3J48 </t>
  </si>
  <si>
    <t>AUP3D67</t>
  </si>
  <si>
    <t>ASA8E11</t>
  </si>
  <si>
    <t>ARX2F14</t>
  </si>
  <si>
    <t>QNT6G21</t>
  </si>
  <si>
    <t>AKZ7H00</t>
  </si>
  <si>
    <t>APH8B37</t>
  </si>
  <si>
    <t>RAG4E50</t>
  </si>
  <si>
    <t>FVO2I69</t>
  </si>
  <si>
    <t>AOC3J05</t>
  </si>
  <si>
    <t>QAG7G26</t>
  </si>
  <si>
    <t>NRZ1G11</t>
  </si>
  <si>
    <t>RAZ4I13</t>
  </si>
  <si>
    <t>OLJ3F08</t>
  </si>
  <si>
    <t>RCL5I80</t>
  </si>
  <si>
    <t>RTD8I23</t>
  </si>
  <si>
    <t>QMY1D13</t>
  </si>
  <si>
    <t>UDF0I20</t>
  </si>
  <si>
    <t>OYH8I52</t>
  </si>
  <si>
    <t>RYN4F30</t>
  </si>
  <si>
    <t>AGENDAMENTO SOLICITADO DIA 24</t>
  </si>
  <si>
    <t>FPS9566</t>
  </si>
  <si>
    <t>QCD0H00</t>
  </si>
  <si>
    <t xml:space="preserve">FXH5048 </t>
  </si>
  <si>
    <t>AGENDAMENTO SOLICITADO DIA 22</t>
  </si>
  <si>
    <t xml:space="preserve">FGT2392 </t>
  </si>
  <si>
    <t xml:space="preserve">FOA2I11 </t>
  </si>
  <si>
    <t>RTU9F31  </t>
  </si>
  <si>
    <t xml:space="preserve">QSO3I91 </t>
  </si>
  <si>
    <t>BDO8F03</t>
  </si>
  <si>
    <t>LUCAS DO RIO VERDE/MT</t>
  </si>
  <si>
    <t>ALG. LUCAS COTTON</t>
  </si>
  <si>
    <t>NATAL/RN</t>
  </si>
  <si>
    <t>NUTRADE</t>
  </si>
  <si>
    <t>SI 250071-04</t>
  </si>
  <si>
    <t>ALG. RIO VERDE</t>
  </si>
  <si>
    <t>TAPURAH/MT</t>
  </si>
  <si>
    <t>ALG. ELDORADO</t>
  </si>
  <si>
    <t xml:space="preserve">IZL7I77 </t>
  </si>
  <si>
    <t>SLH9C34</t>
  </si>
  <si>
    <t>RAR6H56</t>
  </si>
  <si>
    <t>TKY8G00</t>
  </si>
  <si>
    <t>FVY8A77</t>
  </si>
  <si>
    <t>MMK4J40</t>
  </si>
  <si>
    <t>QWM8G45</t>
  </si>
  <si>
    <t>QIM0I99</t>
  </si>
  <si>
    <t>OQV7E14</t>
  </si>
  <si>
    <t>QVV5I90</t>
  </si>
  <si>
    <t>RDT0F88</t>
  </si>
  <si>
    <t>MLP6I80</t>
  </si>
  <si>
    <t>EXO2072</t>
  </si>
  <si>
    <t>SLK6A79</t>
  </si>
  <si>
    <t>TYJ8A43</t>
  </si>
  <si>
    <t>SAPEZAL</t>
  </si>
  <si>
    <t>BC COTTON</t>
  </si>
  <si>
    <t>S.MAGALHAES</t>
  </si>
  <si>
    <t>S06983-B-FEV-01</t>
  </si>
  <si>
    <t>ORDEM DE CHEGADA</t>
  </si>
  <si>
    <t>JCE2G30</t>
  </si>
  <si>
    <t>JDL4H87</t>
  </si>
  <si>
    <t xml:space="preserve">SALTORELLI JEANSWEAR LTDA </t>
  </si>
  <si>
    <t xml:space="preserve">CTS-005072025-MAR-01-SAROSS </t>
  </si>
  <si>
    <t>RNI9B15</t>
  </si>
  <si>
    <t>NYJ2B99</t>
  </si>
  <si>
    <t>BDE0540</t>
  </si>
  <si>
    <t>RBH5C52</t>
  </si>
  <si>
    <t>JZW5J23</t>
  </si>
  <si>
    <t>TBO8D40</t>
  </si>
  <si>
    <t>SPH1E58</t>
  </si>
  <si>
    <t>ODF0B20</t>
  </si>
  <si>
    <t>ALG TRES COQUEIROS</t>
  </si>
  <si>
    <t>NOVA ODESSA - SP</t>
  </si>
  <si>
    <t>JOLITEX</t>
  </si>
  <si>
    <t>FJP9A55</t>
  </si>
  <si>
    <t>ABL5C90</t>
  </si>
  <si>
    <t>FAA2B09</t>
  </si>
  <si>
    <t>AQB9G00</t>
  </si>
  <si>
    <t xml:space="preserve">BEB2F69 </t>
  </si>
  <si>
    <t xml:space="preserve">FQO3E40 </t>
  </si>
  <si>
    <t>IZH4E36</t>
  </si>
  <si>
    <t>CNI5C68</t>
  </si>
  <si>
    <t>NEF3882</t>
  </si>
  <si>
    <t>STS7J19</t>
  </si>
  <si>
    <t>SAPEZAL/MT</t>
  </si>
  <si>
    <t>ALG. TRES LAGOAS</t>
  </si>
  <si>
    <t xml:space="preserve">P.  28705 </t>
  </si>
  <si>
    <t>RONDONÓPOLIS/MT</t>
  </si>
  <si>
    <t>-</t>
  </si>
  <si>
    <t>CDL5D63</t>
  </si>
  <si>
    <t>NPJ5H02</t>
  </si>
  <si>
    <t>AUC6J00</t>
  </si>
  <si>
    <t>MEU7365</t>
  </si>
  <si>
    <t xml:space="preserve">IWZ7J05 </t>
  </si>
  <si>
    <t>JAX1G12</t>
  </si>
  <si>
    <t>ALG. RAFAELA</t>
  </si>
  <si>
    <t>P. 28688</t>
  </si>
  <si>
    <t>HMV3C82</t>
  </si>
  <si>
    <t>PWN4G46</t>
  </si>
  <si>
    <t>SPT3D49</t>
  </si>
  <si>
    <t>S51580.B04</t>
  </si>
  <si>
    <t>03/05 A 05/05</t>
  </si>
  <si>
    <t>SPT3D39</t>
  </si>
  <si>
    <t>ALG. SCHEFFER</t>
  </si>
  <si>
    <t>P. 28715</t>
  </si>
  <si>
    <t>QMO5J50</t>
  </si>
  <si>
    <t>HFD3584</t>
  </si>
  <si>
    <t>R$ 770,00</t>
  </si>
  <si>
    <t>GAA9F11</t>
  </si>
  <si>
    <t>R$ 450,00</t>
  </si>
  <si>
    <t>JBU8F32</t>
  </si>
  <si>
    <t>JCU8D98</t>
  </si>
  <si>
    <t xml:space="preserve">                             TIZ4E37</t>
  </si>
  <si>
    <t>AJS6E33</t>
  </si>
  <si>
    <t>EQD9H33</t>
  </si>
  <si>
    <t>TLT5E83</t>
  </si>
  <si>
    <t>BBN8H87</t>
  </si>
  <si>
    <t>R$ 425,00</t>
  </si>
  <si>
    <t>EII8J02</t>
  </si>
  <si>
    <t>ASQ5C51</t>
  </si>
  <si>
    <t>GEU7B58</t>
  </si>
  <si>
    <t>SZR2H65</t>
  </si>
  <si>
    <t>QAH1J84</t>
  </si>
  <si>
    <t>AWZ0I48</t>
  </si>
  <si>
    <t>RODO-M37-JAN26-08</t>
  </si>
  <si>
    <t>BBE0E63</t>
  </si>
  <si>
    <t>R$ 480,00</t>
  </si>
  <si>
    <t>RNC6C49</t>
  </si>
  <si>
    <t>R$ 500,00</t>
  </si>
  <si>
    <t>RNP7C67</t>
  </si>
  <si>
    <t>R$  500,00</t>
  </si>
  <si>
    <t>MLH9A15</t>
  </si>
  <si>
    <t>DBS0H04</t>
  </si>
  <si>
    <t>R$ 490,00</t>
  </si>
  <si>
    <t>RMU0C15</t>
  </si>
  <si>
    <t>GFA3B42</t>
  </si>
  <si>
    <t xml:space="preserve">                             RNC6C57</t>
  </si>
  <si>
    <t>ELI3C08</t>
  </si>
  <si>
    <t>R$ 515,00</t>
  </si>
  <si>
    <t>EOC9E84</t>
  </si>
  <si>
    <t>GDA0C42</t>
  </si>
  <si>
    <t>R$ 520,00</t>
  </si>
  <si>
    <t>RNC6F92</t>
  </si>
  <si>
    <t>ODI1I18</t>
  </si>
  <si>
    <t>RNJ4G87</t>
  </si>
  <si>
    <t>RNG4C99</t>
  </si>
  <si>
    <t xml:space="preserve">                           AUP3D67</t>
  </si>
  <si>
    <t xml:space="preserve">FROTA </t>
  </si>
  <si>
    <t>NCS2J45</t>
  </si>
  <si>
    <t>QJL7G60</t>
  </si>
  <si>
    <t>28236 PEDIDO</t>
  </si>
  <si>
    <t>AOR9I01</t>
  </si>
  <si>
    <t>ADQ7420</t>
  </si>
  <si>
    <t>HRG1936</t>
  </si>
  <si>
    <t>OAW1I68</t>
  </si>
  <si>
    <t>R$ 125,00</t>
  </si>
  <si>
    <t>ALG. THOM E CIA</t>
  </si>
  <si>
    <t>SANTOS/SP</t>
  </si>
  <si>
    <t>S. MAGALHÃES</t>
  </si>
  <si>
    <t>SI250055-19A</t>
  </si>
  <si>
    <t>EVO9G44</t>
  </si>
  <si>
    <t>PTW9A89</t>
  </si>
  <si>
    <t>GHC2I03</t>
  </si>
  <si>
    <t>RBU0C70</t>
  </si>
  <si>
    <t>DBL4I38</t>
  </si>
  <si>
    <t>AZT6C46</t>
  </si>
  <si>
    <t>JDH0D86</t>
  </si>
  <si>
    <t xml:space="preserve">ENR6109 </t>
  </si>
  <si>
    <t xml:space="preserve"> DOG4A62 </t>
  </si>
  <si>
    <t xml:space="preserve">GJX1A53 </t>
  </si>
  <si>
    <t xml:space="preserve">RNG4D20 </t>
  </si>
  <si>
    <t>JCN2B85</t>
  </si>
  <si>
    <t>EJW1540</t>
  </si>
  <si>
    <t>TFP8G43</t>
  </si>
  <si>
    <t>MCU0I78</t>
  </si>
  <si>
    <t>FROTA</t>
  </si>
  <si>
    <t>EPA6D40</t>
  </si>
  <si>
    <t>MLT3I14</t>
  </si>
  <si>
    <t>AXY6A37</t>
  </si>
  <si>
    <t>LOTE FINALIZADO</t>
  </si>
  <si>
    <t>BOOKING 266362944</t>
  </si>
  <si>
    <t xml:space="preserve"> IZL7I77 </t>
  </si>
  <si>
    <t xml:space="preserve"> QAX9I78 </t>
  </si>
  <si>
    <t>HIV8I36</t>
  </si>
  <si>
    <t>QQF8J89</t>
  </si>
  <si>
    <t>AWB4641</t>
  </si>
  <si>
    <t>SPY9I42</t>
  </si>
  <si>
    <t>ITJ4C63</t>
  </si>
  <si>
    <t>TFB6J98</t>
  </si>
  <si>
    <t>AUW5J59</t>
  </si>
  <si>
    <t>EFO0D97</t>
  </si>
  <si>
    <t>SDT1I85</t>
  </si>
  <si>
    <t>BWN0E63</t>
  </si>
  <si>
    <t>SHZ7E62</t>
  </si>
  <si>
    <t>RHV2B14</t>
  </si>
  <si>
    <t>EIB0I12</t>
  </si>
  <si>
    <t>IUI5A80</t>
  </si>
  <si>
    <t>EQQ0E40</t>
  </si>
  <si>
    <t>PRS6D84</t>
  </si>
  <si>
    <t>HDI9G41</t>
  </si>
  <si>
    <t>QCJ9I80</t>
  </si>
  <si>
    <t>OUO0H81</t>
  </si>
  <si>
    <t>EOB2E78</t>
  </si>
  <si>
    <t>GHE4G33</t>
  </si>
  <si>
    <t>RJP6F43</t>
  </si>
  <si>
    <t>QBG6620</t>
  </si>
  <si>
    <t>QBJ8708</t>
  </si>
  <si>
    <t>UAU6E74</t>
  </si>
  <si>
    <t>OAQ8G77</t>
  </si>
  <si>
    <t>RAZ0E37 - ALAMO</t>
  </si>
  <si>
    <t>QJL7G60 - ALAMO</t>
  </si>
  <si>
    <t>ODR3G52 - ISIS / CONLINE</t>
  </si>
  <si>
    <t>RQO4G85 - CORTES</t>
  </si>
  <si>
    <t>JAW7D74</t>
  </si>
  <si>
    <t>JBN0D17</t>
  </si>
  <si>
    <t>JBW1A82</t>
  </si>
  <si>
    <t>MIX0A83</t>
  </si>
  <si>
    <t>RAF5B36</t>
  </si>
  <si>
    <t>ORIEGEM:</t>
  </si>
  <si>
    <t>RVD4J01</t>
  </si>
  <si>
    <t>RRZ1F69</t>
  </si>
  <si>
    <t xml:space="preserve">IOQ7I56 </t>
  </si>
  <si>
    <t>FQO8E13</t>
  </si>
  <si>
    <t>RDX9B55</t>
  </si>
  <si>
    <t>RDU2J76</t>
  </si>
  <si>
    <t>MJC5524</t>
  </si>
  <si>
    <t>MWW8G26</t>
  </si>
  <si>
    <t>JBE9E42</t>
  </si>
  <si>
    <t>JAC7J26</t>
  </si>
  <si>
    <t>BCN3G07</t>
  </si>
  <si>
    <t xml:space="preserve">QAH2F99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</si>
</sst>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R$&quot;\ #,##0.00"/>
    <numFmt numFmtId="165" formatCode="dd/MM/yyyy"/>
    <numFmt numFmtId="166" formatCode="[$R$ -416]#,##0.00"/>
    <numFmt numFmtId="167" formatCode="_([$R$ -416]* #,##0.00_);_([$R$ -416]* \(#,##0.00\);_([$R$ -416]* &quot;-&quot;??_);_(@_)"/>
    <numFmt numFmtId="168" formatCode="dd/mm/yyyy"/>
    <numFmt numFmtId="169" formatCode="dd/mm"/>
  </numFmts>
  <fonts count="3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sz val="9.0"/>
      <color theme="1"/>
      <name val="Nunito"/>
    </font>
    <font>
      <color rgb="FF000000"/>
      <name val="Calibri"/>
      <scheme val="minor"/>
    </font>
    <font>
      <sz val="9.0"/>
      <color rgb="FF000000"/>
      <name val="Calibri"/>
      <scheme val="minor"/>
    </font>
    <font>
      <color theme="1"/>
      <name val="Calibri"/>
    </font>
    <font>
      <color rgb="FF000000"/>
      <name val="Calibri"/>
    </font>
    <font/>
    <font>
      <sz val="11.0"/>
      <color rgb="FF000000"/>
      <name val="Calibri"/>
    </font>
    <font>
      <b/>
      <color theme="1"/>
      <name val="Calibri"/>
      <scheme val="minor"/>
    </font>
    <font>
      <u/>
      <color rgb="FF0000FF"/>
      <name val="Roboto"/>
    </font>
    <font>
      <u/>
      <color rgb="FF0000FF"/>
      <name val="Roboto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Arial"/>
    </font>
    <font>
      <sz val="12.0"/>
      <color rgb="FF242424"/>
      <name val="Arial"/>
    </font>
    <font>
      <sz val="12.0"/>
      <color rgb="FF242424"/>
      <name val="&quot;Segoe UI&quot;"/>
    </font>
    <font>
      <sz val="12.0"/>
      <color rgb="FF000000"/>
      <name val="Aptos"/>
    </font>
    <font>
      <b/>
      <sz val="8.0"/>
      <color rgb="FF333333"/>
      <name val="Arial"/>
    </font>
    <font>
      <sz val="11.0"/>
      <color theme="1"/>
      <name val="Arial"/>
    </font>
    <font>
      <b/>
      <color theme="1"/>
      <name val="Calibri"/>
    </font>
    <font>
      <sz val="10.0"/>
      <color rgb="FF000000"/>
      <name val="Calibri"/>
    </font>
    <font>
      <sz val="9.0"/>
      <color rgb="FF000000"/>
      <name val="Calibri"/>
    </font>
    <font>
      <color rgb="FF333333"/>
      <name val="Calibri"/>
    </font>
    <font>
      <sz val="11.0"/>
      <color rgb="FFFFFFFF"/>
      <name val="Calibri"/>
    </font>
    <font>
      <sz val="11.0"/>
      <color rgb="FF6AA84F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05223D"/>
        <bgColor rgb="FF05223D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</fills>
  <borders count="24">
    <border/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bottom/>
    </border>
    <border>
      <left/>
      <right/>
      <bottom/>
    </border>
    <border>
      <left/>
      <bottom/>
    </border>
    <border>
      <bottom/>
    </border>
    <border>
      <left style="thin">
        <color rgb="FF05223D"/>
      </left>
      <right style="thin">
        <color rgb="FF05223D"/>
      </right>
      <top style="thin">
        <color rgb="FF05223D"/>
      </top>
      <bottom style="thin">
        <color rgb="FF05223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vertical="center"/>
    </xf>
    <xf borderId="2" fillId="2" fontId="3" numFmtId="0" xfId="0" applyAlignment="1" applyBorder="1" applyFont="1">
      <alignment vertical="center"/>
    </xf>
    <xf borderId="3" fillId="3" fontId="3" numFmtId="0" xfId="0" applyAlignment="1" applyBorder="1" applyFill="1" applyFont="1">
      <alignment horizontal="right" readingOrder="0" vertical="center"/>
    </xf>
    <xf borderId="3" fillId="3" fontId="4" numFmtId="0" xfId="0" applyAlignment="1" applyBorder="1" applyFont="1">
      <alignment horizontal="left" readingOrder="0" vertical="center"/>
    </xf>
    <xf borderId="4" fillId="3" fontId="4" numFmtId="49" xfId="0" applyAlignment="1" applyBorder="1" applyFont="1" applyNumberFormat="1">
      <alignment horizontal="left" readingOrder="0" vertical="center"/>
    </xf>
    <xf borderId="4" fillId="0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readingOrder="0" vertical="center"/>
    </xf>
    <xf borderId="4" fillId="3" fontId="4" numFmtId="0" xfId="0" applyAlignment="1" applyBorder="1" applyFont="1">
      <alignment horizontal="left" readingOrder="0" vertical="center"/>
    </xf>
    <xf borderId="5" fillId="3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vertical="center"/>
    </xf>
    <xf borderId="4" fillId="3" fontId="3" numFmtId="0" xfId="0" applyAlignment="1" applyBorder="1" applyFont="1">
      <alignment horizontal="right" vertical="center"/>
    </xf>
    <xf borderId="4" fillId="3" fontId="4" numFmtId="3" xfId="0" applyAlignment="1" applyBorder="1" applyFont="1" applyNumberFormat="1">
      <alignment horizontal="left" vertical="center"/>
    </xf>
    <xf borderId="7" fillId="3" fontId="4" numFmtId="164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right" readingOrder="0" vertical="center"/>
    </xf>
    <xf borderId="4" fillId="3" fontId="4" numFmtId="165" xfId="0" applyAlignment="1" applyBorder="1" applyFont="1" applyNumberFormat="1">
      <alignment horizontal="left" vertical="center"/>
    </xf>
    <xf borderId="4" fillId="3" fontId="6" numFmtId="0" xfId="0" applyAlignment="1" applyBorder="1" applyFont="1">
      <alignment horizontal="right" vertical="center"/>
    </xf>
    <xf borderId="8" fillId="3" fontId="5" numFmtId="3" xfId="0" applyAlignment="1" applyBorder="1" applyFont="1" applyNumberFormat="1">
      <alignment horizontal="left" vertical="center"/>
    </xf>
    <xf borderId="4" fillId="4" fontId="7" numFmtId="0" xfId="0" applyAlignment="1" applyBorder="1" applyFill="1" applyFont="1">
      <alignment horizontal="center" vertical="center"/>
    </xf>
    <xf borderId="7" fillId="4" fontId="7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vertical="bottom"/>
    </xf>
    <xf borderId="4" fillId="0" fontId="8" numFmtId="166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vertical="bottom"/>
    </xf>
    <xf borderId="4" fillId="5" fontId="9" numFmtId="167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vertical="bottom"/>
    </xf>
    <xf borderId="4" fillId="5" fontId="10" numFmtId="167" xfId="0" applyAlignment="1" applyBorder="1" applyFont="1" applyNumberFormat="1">
      <alignment horizontal="center" vertical="bottom"/>
    </xf>
    <xf borderId="4" fillId="0" fontId="8" numFmtId="0" xfId="0" applyAlignment="1" applyBorder="1" applyFont="1">
      <alignment horizontal="center" vertical="bottom"/>
    </xf>
    <xf borderId="4" fillId="2" fontId="4" numFmtId="0" xfId="0" applyAlignment="1" applyBorder="1" applyFont="1">
      <alignment horizontal="center" vertical="center"/>
    </xf>
    <xf borderId="4" fillId="2" fontId="3" numFmtId="16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9" fillId="2" fontId="3" numFmtId="0" xfId="0" applyAlignment="1" applyBorder="1" applyFont="1">
      <alignment vertical="center"/>
    </xf>
    <xf borderId="10" fillId="2" fontId="3" numFmtId="0" xfId="0" applyAlignment="1" applyBorder="1" applyFont="1">
      <alignment vertical="center"/>
    </xf>
    <xf borderId="4" fillId="5" fontId="12" numFmtId="167" xfId="0" applyAlignment="1" applyBorder="1" applyFont="1" applyNumberFormat="1">
      <alignment horizontal="center" vertical="bottom"/>
    </xf>
    <xf borderId="11" fillId="6" fontId="3" numFmtId="0" xfId="0" applyAlignment="1" applyBorder="1" applyFill="1" applyFont="1">
      <alignment vertical="center"/>
    </xf>
    <xf borderId="12" fillId="0" fontId="13" numFmtId="0" xfId="0" applyBorder="1" applyFont="1"/>
    <xf borderId="9" fillId="0" fontId="13" numFmtId="0" xfId="0" applyBorder="1" applyFont="1"/>
    <xf borderId="13" fillId="7" fontId="1" numFmtId="0" xfId="0" applyBorder="1" applyFill="1" applyFont="1"/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readingOrder="0" vertical="center"/>
    </xf>
    <xf borderId="15" fillId="0" fontId="3" numFmtId="3" xfId="0" applyAlignment="1" applyBorder="1" applyFont="1" applyNumberFormat="1">
      <alignment readingOrder="0" vertical="center"/>
    </xf>
    <xf borderId="15" fillId="0" fontId="3" numFmtId="10" xfId="0" applyAlignment="1" applyBorder="1" applyFont="1" applyNumberFormat="1">
      <alignment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16" fillId="0" fontId="3" numFmtId="0" xfId="0" applyAlignment="1" applyBorder="1" applyFont="1">
      <alignment vertical="center"/>
    </xf>
    <xf borderId="4" fillId="0" fontId="3" numFmtId="0" xfId="0" applyAlignment="1" applyBorder="1" applyFont="1">
      <alignment readingOrder="0" vertical="center"/>
    </xf>
    <xf borderId="4" fillId="0" fontId="3" numFmtId="3" xfId="0" applyAlignment="1" applyBorder="1" applyFont="1" applyNumberFormat="1">
      <alignment readingOrder="0" vertical="center"/>
    </xf>
    <xf borderId="4" fillId="0" fontId="3" numFmtId="10" xfId="0" applyAlignment="1" applyBorder="1" applyFont="1" applyNumberFormat="1">
      <alignment readingOrder="0" vertical="center"/>
    </xf>
    <xf borderId="17" fillId="0" fontId="3" numFmtId="0" xfId="0" applyAlignment="1" applyBorder="1" applyFont="1">
      <alignment vertical="center"/>
    </xf>
    <xf borderId="4" fillId="0" fontId="3" numFmtId="165" xfId="0" applyAlignment="1" applyBorder="1" applyFont="1" applyNumberFormat="1">
      <alignment shrinkToFit="0" vertical="center" wrapText="0"/>
    </xf>
    <xf borderId="4" fillId="0" fontId="3" numFmtId="165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3" numFmtId="164" xfId="0" applyAlignment="1" applyBorder="1" applyFont="1" applyNumberFormat="1">
      <alignment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3" numFmtId="165" xfId="0" applyAlignment="1" applyBorder="1" applyFont="1" applyNumberFormat="1">
      <alignment readingOrder="0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3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4" fillId="0" fontId="3" numFmtId="3" xfId="0" applyAlignment="1" applyBorder="1" applyFont="1" applyNumberFormat="1">
      <alignment vertical="center"/>
    </xf>
    <xf borderId="4" fillId="0" fontId="3" numFmtId="10" xfId="0" applyAlignment="1" applyBorder="1" applyFont="1" applyNumberFormat="1">
      <alignment vertical="center"/>
    </xf>
    <xf borderId="4" fillId="0" fontId="3" numFmtId="3" xfId="0" applyAlignment="1" applyBorder="1" applyFont="1" applyNumberFormat="1">
      <alignment horizontal="center" readingOrder="0" shrinkToFit="0" vertical="center" wrapText="0"/>
    </xf>
    <xf borderId="18" fillId="0" fontId="3" numFmtId="0" xfId="0" applyAlignment="1" applyBorder="1" applyFont="1">
      <alignment vertical="center"/>
    </xf>
    <xf borderId="4" fillId="0" fontId="3" numFmtId="3" xfId="0" applyAlignment="1" applyBorder="1" applyFont="1" applyNumberFormat="1">
      <alignment horizontal="center" shrinkToFit="0" vertical="center" wrapText="0"/>
    </xf>
    <xf borderId="4" fillId="8" fontId="3" numFmtId="165" xfId="0" applyAlignment="1" applyBorder="1" applyFill="1" applyFont="1" applyNumberFormat="1">
      <alignment shrinkToFit="0" vertical="center" wrapText="0"/>
    </xf>
    <xf borderId="4" fillId="8" fontId="3" numFmtId="165" xfId="0" applyAlignment="1" applyBorder="1" applyFont="1" applyNumberFormat="1">
      <alignment horizontal="center" readingOrder="0" shrinkToFit="0" vertical="center" wrapText="0"/>
    </xf>
    <xf borderId="4" fillId="8" fontId="3" numFmtId="0" xfId="0" applyAlignment="1" applyBorder="1" applyFont="1">
      <alignment readingOrder="0" shrinkToFit="0" vertical="center" wrapText="0"/>
    </xf>
    <xf borderId="4" fillId="8" fontId="3" numFmtId="0" xfId="0" applyAlignment="1" applyBorder="1" applyFont="1">
      <alignment readingOrder="0" shrinkToFit="0" vertical="center" wrapText="0"/>
    </xf>
    <xf borderId="4" fillId="8" fontId="3" numFmtId="164" xfId="0" applyAlignment="1" applyBorder="1" applyFont="1" applyNumberFormat="1">
      <alignment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4" fillId="8" fontId="3" numFmtId="165" xfId="0" applyAlignment="1" applyBorder="1" applyFont="1" applyNumberFormat="1">
      <alignment readingOrder="0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4" fillId="8" fontId="3" numFmtId="3" xfId="0" applyAlignment="1" applyBorder="1" applyFont="1" applyNumberFormat="1">
      <alignment horizontal="center" shrinkToFit="0" vertical="center" wrapText="0"/>
    </xf>
    <xf borderId="4" fillId="8" fontId="3" numFmtId="3" xfId="0" applyAlignment="1" applyBorder="1" applyFont="1" applyNumberFormat="1">
      <alignment horizontal="center" shrinkToFit="0" vertical="center" wrapText="0"/>
    </xf>
    <xf borderId="3" fillId="8" fontId="3" numFmtId="0" xfId="0" applyAlignment="1" applyBorder="1" applyFont="1">
      <alignment horizontal="left" readingOrder="0" shrinkToFit="0" vertical="center" wrapText="0"/>
    </xf>
    <xf borderId="4" fillId="8" fontId="14" numFmtId="165" xfId="0" applyAlignment="1" applyBorder="1" applyFont="1" applyNumberFormat="1">
      <alignment shrinkToFit="0" vertical="center" wrapText="0"/>
    </xf>
    <xf borderId="4" fillId="8" fontId="14" numFmtId="165" xfId="0" applyAlignment="1" applyBorder="1" applyFont="1" applyNumberFormat="1">
      <alignment horizontal="center" readingOrder="0" shrinkToFit="0" vertical="center" wrapText="0"/>
    </xf>
    <xf borderId="4" fillId="8" fontId="14" numFmtId="0" xfId="0" applyAlignment="1" applyBorder="1" applyFont="1">
      <alignment readingOrder="0" shrinkToFit="0" vertical="center" wrapText="0"/>
    </xf>
    <xf borderId="4" fillId="8" fontId="14" numFmtId="0" xfId="0" applyAlignment="1" applyBorder="1" applyFont="1">
      <alignment readingOrder="0" shrinkToFit="0" vertical="center" wrapText="0"/>
    </xf>
    <xf borderId="4" fillId="8" fontId="14" numFmtId="164" xfId="0" applyAlignment="1" applyBorder="1" applyFont="1" applyNumberFormat="1">
      <alignment readingOrder="0" shrinkToFit="0" vertical="center" wrapText="0"/>
    </xf>
    <xf borderId="4" fillId="8" fontId="14" numFmtId="0" xfId="0" applyAlignment="1" applyBorder="1" applyFont="1">
      <alignment horizontal="center" readingOrder="0" shrinkToFit="0" vertical="center" wrapText="0"/>
    </xf>
    <xf borderId="4" fillId="8" fontId="14" numFmtId="165" xfId="0" applyAlignment="1" applyBorder="1" applyFont="1" applyNumberFormat="1">
      <alignment readingOrder="0" shrinkToFit="0" vertical="center" wrapText="0"/>
    </xf>
    <xf borderId="4" fillId="8" fontId="14" numFmtId="0" xfId="0" applyAlignment="1" applyBorder="1" applyFont="1">
      <alignment horizontal="center" shrinkToFit="0" vertical="center" wrapText="0"/>
    </xf>
    <xf borderId="4" fillId="8" fontId="14" numFmtId="3" xfId="0" applyAlignment="1" applyBorder="1" applyFont="1" applyNumberFormat="1">
      <alignment horizontal="center" readingOrder="0" shrinkToFit="0" vertical="center" wrapText="0"/>
    </xf>
    <xf borderId="4" fillId="8" fontId="14" numFmtId="3" xfId="0" applyAlignment="1" applyBorder="1" applyFont="1" applyNumberFormat="1">
      <alignment horizontal="center" shrinkToFit="0" vertical="center" wrapText="0"/>
    </xf>
    <xf borderId="3" fillId="8" fontId="14" numFmtId="0" xfId="0" applyAlignment="1" applyBorder="1" applyFont="1">
      <alignment horizontal="left" readingOrder="0" shrinkToFit="0" vertical="center" wrapText="0"/>
    </xf>
    <xf borderId="14" fillId="5" fontId="14" numFmtId="0" xfId="0" applyAlignment="1" applyBorder="1" applyFont="1">
      <alignment vertical="center"/>
    </xf>
    <xf borderId="4" fillId="0" fontId="3" numFmtId="168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4" numFmtId="3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3" numFmtId="0" xfId="0" applyAlignment="1" applyFont="1">
      <alignment vertical="center"/>
    </xf>
    <xf borderId="4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5" numFmtId="0" xfId="0" applyAlignment="1" applyFont="1">
      <alignment horizontal="center" readingOrder="0" shrinkToFit="0" vertical="center" wrapText="0"/>
    </xf>
    <xf borderId="14" fillId="0" fontId="1" numFmtId="0" xfId="0" applyAlignment="1" applyBorder="1" applyFont="1">
      <alignment vertical="center"/>
    </xf>
    <xf borderId="14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horizontal="center" shrinkToFit="0" vertical="center" wrapText="0"/>
    </xf>
    <xf borderId="14" fillId="0" fontId="16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0" fontId="17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 vertical="center"/>
    </xf>
    <xf borderId="4" fillId="3" fontId="4" numFmtId="3" xfId="0" applyAlignment="1" applyBorder="1" applyFont="1" applyNumberFormat="1">
      <alignment horizontal="left" readingOrder="0" vertical="center"/>
    </xf>
    <xf borderId="4" fillId="2" fontId="3" numFmtId="0" xfId="0" applyAlignment="1" applyBorder="1" applyFont="1">
      <alignment horizontal="center" readingOrder="0" vertical="center"/>
    </xf>
    <xf borderId="4" fillId="2" fontId="3" numFmtId="164" xfId="0" applyAlignment="1" applyBorder="1" applyFont="1" applyNumberFormat="1">
      <alignment horizontal="center" readingOrder="0" vertical="center"/>
    </xf>
    <xf borderId="19" fillId="6" fontId="3" numFmtId="0" xfId="0" applyAlignment="1" applyBorder="1" applyFont="1">
      <alignment vertical="center"/>
    </xf>
    <xf borderId="20" fillId="0" fontId="13" numFmtId="0" xfId="0" applyBorder="1" applyFont="1"/>
    <xf borderId="6" fillId="0" fontId="13" numFmtId="0" xfId="0" applyBorder="1" applyFont="1"/>
    <xf borderId="4" fillId="2" fontId="18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readingOrder="0" vertical="center"/>
    </xf>
    <xf borderId="4" fillId="5" fontId="19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readingOrder="0" vertical="center"/>
    </xf>
    <xf borderId="1" fillId="9" fontId="3" numFmtId="0" xfId="0" applyAlignment="1" applyBorder="1" applyFill="1" applyFont="1">
      <alignment vertical="center"/>
    </xf>
    <xf borderId="7" fillId="3" fontId="4" numFmtId="164" xfId="0" applyAlignment="1" applyBorder="1" applyFont="1" applyNumberFormat="1">
      <alignment horizontal="center" readingOrder="0" vertical="center"/>
    </xf>
    <xf borderId="0" fillId="5" fontId="21" numFmtId="0" xfId="0" applyAlignment="1" applyFont="1">
      <alignment horizontal="center" readingOrder="0"/>
    </xf>
    <xf borderId="21" fillId="2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vertical="center"/>
    </xf>
    <xf borderId="1" fillId="5" fontId="3" numFmtId="0" xfId="0" applyAlignment="1" applyBorder="1" applyFont="1">
      <alignment readingOrder="0" vertical="center"/>
    </xf>
    <xf borderId="0" fillId="5" fontId="22" numFmtId="0" xfId="0" applyAlignment="1" applyFont="1">
      <alignment readingOrder="0"/>
    </xf>
    <xf borderId="0" fillId="5" fontId="23" numFmtId="0" xfId="0" applyAlignment="1" applyFont="1">
      <alignment readingOrder="0"/>
    </xf>
    <xf borderId="4" fillId="0" fontId="4" numFmtId="0" xfId="0" applyAlignment="1" applyBorder="1" applyFont="1">
      <alignment horizontal="center" readingOrder="0"/>
    </xf>
    <xf borderId="4" fillId="5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5" fontId="3" numFmtId="164" xfId="0" applyAlignment="1" applyBorder="1" applyFont="1" applyNumberFormat="1">
      <alignment horizontal="center"/>
    </xf>
    <xf borderId="4" fillId="5" fontId="3" numFmtId="0" xfId="0" applyAlignment="1" applyBorder="1" applyFont="1">
      <alignment horizontal="center" readingOrder="0"/>
    </xf>
    <xf borderId="1" fillId="5" fontId="11" numFmtId="0" xfId="0" applyBorder="1" applyFont="1"/>
    <xf borderId="0" fillId="0" fontId="24" numFmtId="0" xfId="0" applyAlignment="1" applyFont="1">
      <alignment readingOrder="0"/>
    </xf>
    <xf borderId="0" fillId="10" fontId="25" numFmtId="0" xfId="0" applyAlignment="1" applyFill="1" applyFont="1">
      <alignment readingOrder="0"/>
    </xf>
    <xf borderId="4" fillId="5" fontId="3" numFmtId="0" xfId="0" applyAlignment="1" applyBorder="1" applyFont="1">
      <alignment horizontal="center" readingOrder="0" vertical="center"/>
    </xf>
    <xf borderId="19" fillId="6" fontId="3" numFmtId="0" xfId="0" applyAlignment="1" applyBorder="1" applyFont="1">
      <alignment readingOrder="0" vertical="center"/>
    </xf>
    <xf borderId="4" fillId="3" fontId="4" numFmtId="169" xfId="0" applyAlignment="1" applyBorder="1" applyFont="1" applyNumberFormat="1">
      <alignment horizontal="left" readingOrder="0" vertical="center"/>
    </xf>
    <xf borderId="11" fillId="6" fontId="11" numFmtId="0" xfId="0" applyBorder="1" applyFont="1"/>
    <xf borderId="1" fillId="5" fontId="11" numFmtId="0" xfId="0" applyBorder="1" applyFont="1"/>
    <xf borderId="4" fillId="11" fontId="7" numFmtId="0" xfId="0" applyAlignment="1" applyBorder="1" applyFill="1" applyFont="1">
      <alignment horizontal="center"/>
    </xf>
    <xf borderId="4" fillId="11" fontId="7" numFmtId="164" xfId="0" applyAlignment="1" applyBorder="1" applyFont="1" applyNumberFormat="1">
      <alignment horizontal="center"/>
    </xf>
    <xf borderId="7" fillId="11" fontId="7" numFmtId="0" xfId="0" applyAlignment="1" applyBorder="1" applyFont="1">
      <alignment horizontal="center"/>
    </xf>
    <xf borderId="4" fillId="2" fontId="26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4" fillId="5" fontId="11" numFmtId="164" xfId="0" applyAlignment="1" applyBorder="1" applyFont="1" applyNumberFormat="1">
      <alignment horizontal="center" readingOrder="0"/>
    </xf>
    <xf borderId="4" fillId="0" fontId="27" numFmtId="0" xfId="0" applyAlignment="1" applyBorder="1" applyFont="1">
      <alignment horizontal="center" readingOrder="0"/>
    </xf>
    <xf borderId="4" fillId="5" fontId="11" numFmtId="0" xfId="0" applyAlignment="1" applyBorder="1" applyFont="1">
      <alignment horizontal="center" readingOrder="0"/>
    </xf>
    <xf borderId="19" fillId="6" fontId="11" numFmtId="0" xfId="0" applyBorder="1" applyFont="1"/>
    <xf borderId="3" fillId="3" fontId="3" numFmtId="0" xfId="0" applyAlignment="1" applyBorder="1" applyFont="1">
      <alignment horizontal="right"/>
    </xf>
    <xf borderId="3" fillId="3" fontId="4" numFmtId="0" xfId="0" applyBorder="1" applyFont="1"/>
    <xf borderId="4" fillId="3" fontId="4" numFmtId="0" xfId="0" applyBorder="1" applyFont="1"/>
    <xf borderId="4" fillId="8" fontId="7" numFmtId="0" xfId="0" applyAlignment="1" applyBorder="1" applyFont="1">
      <alignment horizontal="center"/>
    </xf>
    <xf borderId="3" fillId="3" fontId="4" numFmtId="0" xfId="0" applyAlignment="1" applyBorder="1" applyFont="1">
      <alignment readingOrder="0"/>
    </xf>
    <xf borderId="4" fillId="3" fontId="4" numFmtId="0" xfId="0" applyAlignment="1" applyBorder="1" applyFont="1">
      <alignment readingOrder="0"/>
    </xf>
    <xf borderId="5" fillId="3" fontId="3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right"/>
    </xf>
    <xf borderId="4" fillId="3" fontId="4" numFmtId="3" xfId="0" applyAlignment="1" applyBorder="1" applyFont="1" applyNumberFormat="1">
      <alignment horizontal="left" readingOrder="0"/>
    </xf>
    <xf borderId="7" fillId="3" fontId="11" numFmtId="164" xfId="0" applyBorder="1" applyFont="1" applyNumberFormat="1"/>
    <xf borderId="4" fillId="3" fontId="4" numFmtId="3" xfId="0" applyAlignment="1" applyBorder="1" applyFont="1" applyNumberFormat="1">
      <alignment horizontal="left"/>
    </xf>
    <xf borderId="4" fillId="3" fontId="6" numFmtId="0" xfId="0" applyAlignment="1" applyBorder="1" applyFont="1">
      <alignment horizontal="right"/>
    </xf>
    <xf borderId="8" fillId="3" fontId="5" numFmtId="3" xfId="0" applyAlignment="1" applyBorder="1" applyFont="1" applyNumberFormat="1">
      <alignment horizontal="left"/>
    </xf>
    <xf borderId="7" fillId="3" fontId="4" numFmtId="164" xfId="0" applyAlignment="1" applyBorder="1" applyFont="1" applyNumberFormat="1">
      <alignment horizontal="center" readingOrder="0"/>
    </xf>
    <xf borderId="4" fillId="11" fontId="7" numFmtId="0" xfId="0" applyAlignment="1" applyBorder="1" applyFont="1">
      <alignment horizontal="center"/>
    </xf>
    <xf borderId="7" fillId="11" fontId="7" numFmtId="0" xfId="0" applyAlignment="1" applyBorder="1" applyFont="1">
      <alignment horizontal="center"/>
    </xf>
    <xf borderId="4" fillId="5" fontId="26" numFmtId="0" xfId="0" applyAlignment="1" applyBorder="1" applyFont="1">
      <alignment horizontal="center" readingOrder="0"/>
    </xf>
    <xf borderId="4" fillId="5" fontId="11" numFmtId="164" xfId="0" applyAlignment="1" applyBorder="1" applyFont="1" applyNumberFormat="1">
      <alignment horizontal="center" readingOrder="0" vertical="bottom"/>
    </xf>
    <xf borderId="4" fillId="3" fontId="4" numFmtId="165" xfId="0" applyAlignment="1" applyBorder="1" applyFont="1" applyNumberFormat="1">
      <alignment horizontal="left" readingOrder="0" vertical="center"/>
    </xf>
    <xf borderId="8" fillId="3" fontId="5" numFmtId="3" xfId="0" applyAlignment="1" applyBorder="1" applyFont="1" applyNumberFormat="1">
      <alignment horizontal="left" readingOrder="0" vertical="center"/>
    </xf>
    <xf borderId="1" fillId="12" fontId="3" numFmtId="0" xfId="0" applyAlignment="1" applyBorder="1" applyFill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vertical="center"/>
    </xf>
    <xf borderId="0" fillId="5" fontId="3" numFmtId="0" xfId="0" applyAlignment="1" applyFont="1">
      <alignment vertical="center"/>
    </xf>
    <xf borderId="0" fillId="2" fontId="3" numFmtId="0" xfId="0" applyAlignment="1" applyFont="1">
      <alignment vertical="center"/>
    </xf>
    <xf borderId="22" fillId="2" fontId="4" numFmtId="0" xfId="0" applyAlignment="1" applyBorder="1" applyFont="1">
      <alignment horizontal="center" readingOrder="0" vertical="center"/>
    </xf>
    <xf borderId="22" fillId="2" fontId="3" numFmtId="164" xfId="0" applyAlignment="1" applyBorder="1" applyFont="1" applyNumberFormat="1">
      <alignment horizontal="center" readingOrder="0" vertical="center"/>
    </xf>
    <xf borderId="22" fillId="2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/>
    </xf>
    <xf borderId="4" fillId="8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readingOrder="0" vertical="center"/>
    </xf>
    <xf borderId="4" fillId="5" fontId="28" numFmtId="167" xfId="0" applyAlignment="1" applyBorder="1" applyFont="1" applyNumberFormat="1">
      <alignment horizontal="center" readingOrder="0" vertical="bottom"/>
    </xf>
    <xf borderId="4" fillId="5" fontId="29" numFmtId="167" xfId="0" applyAlignment="1" applyBorder="1" applyFont="1" applyNumberFormat="1">
      <alignment horizontal="center" vertical="bottom"/>
    </xf>
    <xf borderId="4" fillId="5" fontId="29" numFmtId="167" xfId="0" applyAlignment="1" applyBorder="1" applyFont="1" applyNumberFormat="1">
      <alignment horizontal="center" readingOrder="0" vertical="bottom"/>
    </xf>
    <xf borderId="22" fillId="3" fontId="3" numFmtId="0" xfId="0" applyAlignment="1" applyBorder="1" applyFont="1">
      <alignment horizontal="center" readingOrder="0" shrinkToFit="0" vertical="center" wrapText="1"/>
    </xf>
    <xf borderId="3" fillId="3" fontId="5" numFmtId="3" xfId="0" applyAlignment="1" applyBorder="1" applyFont="1" applyNumberFormat="1">
      <alignment horizontal="left" vertical="center"/>
    </xf>
    <xf borderId="4" fillId="3" fontId="4" numFmtId="164" xfId="0" applyAlignment="1" applyBorder="1" applyFont="1" applyNumberFormat="1">
      <alignment horizontal="center" vertical="center"/>
    </xf>
    <xf borderId="23" fillId="2" fontId="3" numFmtId="0" xfId="0" applyAlignment="1" applyBorder="1" applyFont="1">
      <alignment vertical="center"/>
    </xf>
    <xf borderId="4" fillId="5" fontId="11" numFmtId="0" xfId="0" applyAlignment="1" applyBorder="1" applyFont="1">
      <alignment horizontal="center" vertical="bottom"/>
    </xf>
    <xf borderId="0" fillId="5" fontId="28" numFmtId="167" xfId="0" applyAlignment="1" applyFont="1" applyNumberFormat="1">
      <alignment horizontal="center" vertical="bottom"/>
    </xf>
    <xf borderId="4" fillId="5" fontId="28" numFmtId="0" xfId="0" applyAlignment="1" applyBorder="1" applyFont="1">
      <alignment horizontal="center" readingOrder="0"/>
    </xf>
    <xf borderId="4" fillId="5" fontId="11" numFmtId="167" xfId="0" applyAlignment="1" applyBorder="1" applyFont="1" applyNumberFormat="1">
      <alignment horizontal="center" vertical="bottom"/>
    </xf>
    <xf borderId="4" fillId="5" fontId="2" numFmtId="0" xfId="0" applyAlignment="1" applyBorder="1" applyFont="1">
      <alignment horizontal="center" readingOrder="0"/>
    </xf>
    <xf borderId="4" fillId="5" fontId="2" numFmtId="0" xfId="0" applyAlignment="1" applyBorder="1" applyFont="1">
      <alignment horizontal="center" readingOrder="0" vertical="bottom"/>
    </xf>
    <xf borderId="4" fillId="5" fontId="11" numFmtId="167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readingOrder="0"/>
    </xf>
    <xf borderId="6" fillId="5" fontId="11" numFmtId="0" xfId="0" applyBorder="1" applyFont="1"/>
    <xf borderId="4" fillId="0" fontId="11" numFmtId="167" xfId="0" applyAlignment="1" applyBorder="1" applyFont="1" applyNumberFormat="1">
      <alignment horizontal="center" vertical="bottom"/>
    </xf>
    <xf borderId="4" fillId="5" fontId="30" numFmtId="0" xfId="0" applyAlignment="1" applyBorder="1" applyFont="1">
      <alignment horizontal="center" vertical="bottom"/>
    </xf>
    <xf borderId="4" fillId="5" fontId="12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readingOrder="0" vertical="bottom"/>
    </xf>
    <xf borderId="4" fillId="5" fontId="30" numFmtId="0" xfId="0" applyAlignment="1" applyBorder="1" applyFont="1">
      <alignment horizontal="center" readingOrder="0" vertical="bottom"/>
    </xf>
    <xf borderId="4" fillId="0" fontId="31" numFmtId="0" xfId="0" applyAlignment="1" applyBorder="1" applyFont="1">
      <alignment horizontal="center" readingOrder="0" vertical="center"/>
    </xf>
    <xf borderId="1" fillId="13" fontId="32" numFmtId="0" xfId="0" applyAlignment="1" applyBorder="1" applyFill="1" applyFont="1">
      <alignment vertical="center"/>
    </xf>
    <xf borderId="0" fillId="0" fontId="15" numFmtId="0" xfId="0" applyAlignment="1" applyFont="1">
      <alignment horizontal="center" readingOrder="0"/>
    </xf>
  </cellXfs>
  <cellStyles count="1">
    <cellStyle xfId="0" name="Normal" builtinId="0"/>
  </cellStyles>
  <dxfs count="8">
    <dxf>
      <font>
        <b/>
      </font>
      <fill>
        <patternFill patternType="solid">
          <fgColor rgb="FFFFC000"/>
          <bgColor rgb="FFFFC000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IBERAÇÕE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ACESSO - TERMINAIS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PROJEÇÃO - COTTON</a:t>
            </a:r>
          </a:p>
        </c:rich>
      </c:tx>
      <c:overlay val="0"/>
    </c:title>
    <c:plotArea>
      <c:layout>
        <c:manualLayout>
          <c:xMode val="edge"/>
          <c:yMode val="edge"/>
          <c:x val="0.03184438040345822"/>
          <c:y val="0.08333333333333334"/>
          <c:w val="0.9363112391930835"/>
          <c:h val="0.7609351432880845"/>
        </c:manualLayout>
      </c:layout>
      <c:doughnutChart>
        <c:varyColors val="1"/>
        <c:ser>
          <c:idx val="0"/>
          <c:order val="0"/>
          <c:dPt>
            <c:idx val="0"/>
          </c:dPt>
          <c:dPt>
            <c:idx val="1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'LIBERAÇÕES'!$T$3:$T$4</c:f>
            </c:strRef>
          </c:cat>
          <c:val>
            <c:numRef>
              <c:f>'LIBERAÇÕES'!$T$3:$T$4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5223D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104775</xdr:rowOff>
    </xdr:from>
    <xdr:ext cx="14211300" cy="6724650"/>
    <xdr:pic>
      <xdr:nvPicPr>
        <xdr:cNvPr id="72247906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914400</xdr:colOff>
      <xdr:row>0</xdr:row>
      <xdr:rowOff>104775</xdr:rowOff>
    </xdr:from>
    <xdr:ext cx="6448425" cy="67246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Q89" displayName="LIBERAÇÕES" name="LIBERAÇÕES" id="1">
  <autoFilter ref="$A$2:$Q$89"/>
  <tableColumns count="17">
    <tableColumn name="DATA" id="1"/>
    <tableColumn name="DATA_x000a_LIBERAÇÃO" id="2"/>
    <tableColumn name="CLIENTE" id="3"/>
    <tableColumn name="FILIAL" id="4"/>
    <tableColumn name="ORIGEM" id="5"/>
    <tableColumn name="COLETA" id="6"/>
    <tableColumn name="DESTINO" id="7"/>
    <tableColumn name="FRETE_x000a_EMP." id="8"/>
    <tableColumn name="TOTAL_x000a_FARDOS" id="9"/>
    <tableColumn name="INSTRUÇÃO" id="10"/>
    <tableColumn name="DEAD LINE" id="11"/>
    <tableColumn name="PRAZO_x000a_(DIAS)" id="12"/>
    <tableColumn name="TERMINAL" id="13"/>
    <tableColumn name="TIPO DE FARDO" id="14"/>
    <tableColumn name="CARREGADO" id="15"/>
    <tableColumn name="A CARREGAR" id="16"/>
    <tableColumn name="OBSERVAÇÃO" id="17"/>
  </tableColumns>
  <tableStyleInfo name="LIBERAÇÕES-style" showColumnStripes="0" showFirstColumn="1" showLastColumn="1" showRowStripes="1"/>
</table>
</file>

<file path=xl/tables/table2.xml><?xml version="1.0" encoding="utf-8"?>
<table xmlns="http://schemas.openxmlformats.org/spreadsheetml/2006/main" ref="A1:D21" displayName="ACESSOS_TERMINAIS" name="ACESSOS_TERMINAIS" id="2">
  <tableColumns count="4">
    <tableColumn name="TERMINAL" id="1"/>
    <tableColumn name="DADOS AGENDAMENTO" id="2"/>
    <tableColumn name="LOGIN" id="3"/>
    <tableColumn name="SENHA" id="4"/>
  </tableColumns>
  <tableStyleInfo name="ACESSO - TERMINA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msweb.rasio.com.br/agendamento" TargetMode="External"/><Relationship Id="rId10" Type="http://schemas.openxmlformats.org/officeDocument/2006/relationships/hyperlink" Target="https://silo.magnalogistics.com.br/transportador/dashboard/" TargetMode="External"/><Relationship Id="rId13" Type="http://schemas.openxmlformats.org/officeDocument/2006/relationships/hyperlink" Target="http://54.232.113.39/AgendamentoRedex/" TargetMode="External"/><Relationship Id="rId12" Type="http://schemas.openxmlformats.org/officeDocument/2006/relationships/hyperlink" Target="https://silo.magnalogistics.com.br/transportador/login/" TargetMode="External"/><Relationship Id="rId1" Type="http://schemas.openxmlformats.org/officeDocument/2006/relationships/hyperlink" Target="http://redex.serraterminais.com.br:8888/agendamento/" TargetMode="External"/><Relationship Id="rId2" Type="http://schemas.openxmlformats.org/officeDocument/2006/relationships/hyperlink" Target="https://www.microled.app.br/gelog/agendamento/Login.aspx" TargetMode="External"/><Relationship Id="rId3" Type="http://schemas.openxmlformats.org/officeDocument/2006/relationships/hyperlink" Target="http://agendamento.isisredex.com.br/Patio1/" TargetMode="External"/><Relationship Id="rId4" Type="http://schemas.openxmlformats.org/officeDocument/2006/relationships/hyperlink" Target="http://redex.grupodinamo.com.br:8980/agendamentoredex2/" TargetMode="External"/><Relationship Id="rId9" Type="http://schemas.openxmlformats.org/officeDocument/2006/relationships/hyperlink" Target="https://app.depotce.com.br/agendamentoAG/" TargetMode="External"/><Relationship Id="rId15" Type="http://schemas.openxmlformats.org/officeDocument/2006/relationships/hyperlink" Target="https://medlogdepotweb.mscbr.com.br/SAEWeb/CadMotorista" TargetMode="External"/><Relationship Id="rId14" Type="http://schemas.openxmlformats.org/officeDocument/2006/relationships/hyperlink" Target="http://agendamento.conlinessz.com.br/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://redex.tslredex.com.br/AgendamentoRedex/" TargetMode="External"/><Relationship Id="rId6" Type="http://schemas.openxmlformats.org/officeDocument/2006/relationships/hyperlink" Target="http://www.dalastra.com.br/agendamentoredex" TargetMode="External"/><Relationship Id="rId18" Type="http://schemas.openxmlformats.org/officeDocument/2006/relationships/table" Target="../tables/table2.xml"/><Relationship Id="rId7" Type="http://schemas.openxmlformats.org/officeDocument/2006/relationships/hyperlink" Target="http://agendamento.cortes.com.br/Default.aspx" TargetMode="External"/><Relationship Id="rId8" Type="http://schemas.openxmlformats.org/officeDocument/2006/relationships/hyperlink" Target="https://agendamento.tmdl.com.br/Login.aspx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8.71"/>
    <col customWidth="1" min="3" max="3" width="28.14"/>
    <col customWidth="1" min="4" max="4" width="8.71"/>
    <col customWidth="1" min="5" max="5" width="16.71"/>
    <col customWidth="1" min="6" max="6" width="8.71"/>
    <col customWidth="1" min="7" max="7" width="33.71"/>
    <col customWidth="1" min="8" max="26" width="8.71"/>
  </cols>
  <sheetData>
    <row r="1" ht="14.25" customHeight="1">
      <c r="A1" s="1" t="s">
        <v>0</v>
      </c>
      <c r="C1" s="1" t="s">
        <v>1</v>
      </c>
      <c r="E1" s="1" t="s">
        <v>2</v>
      </c>
      <c r="G1" s="2" t="s">
        <v>3</v>
      </c>
    </row>
    <row r="2" ht="14.25" customHeight="1">
      <c r="A2" s="1" t="s">
        <v>4</v>
      </c>
      <c r="C2" s="1" t="s">
        <v>5</v>
      </c>
      <c r="E2" s="1" t="s">
        <v>6</v>
      </c>
      <c r="G2" s="3" t="s">
        <v>7</v>
      </c>
    </row>
    <row r="3" ht="14.25" customHeight="1">
      <c r="A3" s="1" t="s">
        <v>8</v>
      </c>
      <c r="C3" s="1" t="s">
        <v>9</v>
      </c>
      <c r="E3" s="1" t="s">
        <v>10</v>
      </c>
      <c r="G3" s="3" t="s">
        <v>11</v>
      </c>
    </row>
    <row r="4" ht="14.25" customHeight="1">
      <c r="A4" s="1" t="s">
        <v>12</v>
      </c>
      <c r="C4" s="1" t="s">
        <v>13</v>
      </c>
      <c r="E4" s="1" t="s">
        <v>14</v>
      </c>
      <c r="G4" s="3" t="s">
        <v>15</v>
      </c>
    </row>
    <row r="5" ht="14.25" customHeight="1">
      <c r="A5" s="1" t="s">
        <v>16</v>
      </c>
      <c r="C5" s="1" t="s">
        <v>17</v>
      </c>
      <c r="E5" s="1" t="s">
        <v>18</v>
      </c>
      <c r="G5" s="3" t="s">
        <v>19</v>
      </c>
    </row>
    <row r="6" ht="14.25" customHeight="1">
      <c r="A6" s="1" t="s">
        <v>20</v>
      </c>
      <c r="C6" s="1" t="s">
        <v>21</v>
      </c>
      <c r="E6" s="1" t="s">
        <v>22</v>
      </c>
      <c r="G6" s="3" t="s">
        <v>23</v>
      </c>
    </row>
    <row r="7" ht="14.25" customHeight="1">
      <c r="A7" s="1" t="s">
        <v>24</v>
      </c>
      <c r="C7" s="1" t="s">
        <v>25</v>
      </c>
      <c r="E7" s="1" t="s">
        <v>26</v>
      </c>
      <c r="G7" s="3" t="s">
        <v>27</v>
      </c>
    </row>
    <row r="8" ht="14.25" customHeight="1">
      <c r="A8" s="1" t="s">
        <v>28</v>
      </c>
      <c r="C8" s="1" t="s">
        <v>29</v>
      </c>
      <c r="E8" s="1" t="s">
        <v>30</v>
      </c>
      <c r="G8" s="3" t="s">
        <v>31</v>
      </c>
    </row>
    <row r="9" ht="14.25" customHeight="1">
      <c r="A9" s="1" t="s">
        <v>32</v>
      </c>
      <c r="C9" s="4" t="s">
        <v>33</v>
      </c>
      <c r="E9" s="1" t="s">
        <v>34</v>
      </c>
      <c r="G9" s="3" t="s">
        <v>35</v>
      </c>
    </row>
    <row r="10" ht="14.25" customHeight="1">
      <c r="A10" s="1" t="s">
        <v>36</v>
      </c>
      <c r="C10" s="4" t="s">
        <v>37</v>
      </c>
      <c r="E10" s="1" t="s">
        <v>38</v>
      </c>
      <c r="G10" s="3" t="s">
        <v>39</v>
      </c>
    </row>
    <row r="11" ht="14.25" customHeight="1">
      <c r="A11" s="1" t="s">
        <v>40</v>
      </c>
      <c r="C11" s="4" t="s">
        <v>41</v>
      </c>
      <c r="E11" s="1" t="s">
        <v>42</v>
      </c>
      <c r="G11" s="3" t="s">
        <v>43</v>
      </c>
    </row>
    <row r="12" ht="14.25" customHeight="1">
      <c r="A12" s="1" t="s">
        <v>44</v>
      </c>
      <c r="C12" s="1" t="s">
        <v>45</v>
      </c>
      <c r="E12" s="1" t="s">
        <v>46</v>
      </c>
      <c r="G12" s="3" t="s">
        <v>47</v>
      </c>
    </row>
    <row r="13" ht="14.25" customHeight="1">
      <c r="A13" s="1" t="s">
        <v>48</v>
      </c>
      <c r="C13" s="1" t="s">
        <v>49</v>
      </c>
      <c r="E13" s="1" t="s">
        <v>50</v>
      </c>
      <c r="G13" s="3" t="s">
        <v>51</v>
      </c>
    </row>
    <row r="14" ht="14.25" customHeight="1">
      <c r="A14" s="1" t="s">
        <v>52</v>
      </c>
      <c r="C14" s="1" t="s">
        <v>53</v>
      </c>
      <c r="E14" s="1" t="s">
        <v>54</v>
      </c>
      <c r="G14" s="3" t="s">
        <v>55</v>
      </c>
    </row>
    <row r="15" ht="14.25" customHeight="1">
      <c r="C15" s="1" t="s">
        <v>56</v>
      </c>
      <c r="G15" s="3" t="s">
        <v>57</v>
      </c>
    </row>
    <row r="16" ht="14.25" customHeight="1">
      <c r="C16" s="1" t="s">
        <v>58</v>
      </c>
      <c r="G16" s="3" t="s">
        <v>59</v>
      </c>
    </row>
    <row r="17" ht="14.25" customHeight="1">
      <c r="G17" s="3" t="s">
        <v>60</v>
      </c>
    </row>
    <row r="18" ht="14.25" customHeight="1">
      <c r="G18" s="3" t="s">
        <v>61</v>
      </c>
    </row>
    <row r="19" ht="14.25" customHeight="1">
      <c r="G19" s="3" t="s">
        <v>62</v>
      </c>
    </row>
    <row r="20" ht="14.25" customHeight="1">
      <c r="G20" s="3" t="s">
        <v>63</v>
      </c>
    </row>
    <row r="21" ht="14.25" customHeight="1">
      <c r="G21" s="3" t="s">
        <v>64</v>
      </c>
    </row>
    <row r="22" ht="14.25" customHeight="1">
      <c r="G22" s="3" t="s">
        <v>65</v>
      </c>
    </row>
    <row r="23" ht="14.25" customHeight="1">
      <c r="G23" s="3" t="s">
        <v>66</v>
      </c>
    </row>
    <row r="24" ht="14.25" customHeight="1">
      <c r="G24" s="3" t="s">
        <v>67</v>
      </c>
    </row>
    <row r="25" ht="14.25" customHeight="1">
      <c r="G25" s="3" t="s">
        <v>68</v>
      </c>
    </row>
    <row r="26" ht="14.25" customHeight="1">
      <c r="G26" s="3" t="s">
        <v>69</v>
      </c>
    </row>
    <row r="27" ht="14.25" customHeight="1">
      <c r="G27" s="3" t="s">
        <v>70</v>
      </c>
    </row>
    <row r="28" ht="14.25" customHeight="1">
      <c r="G28" s="3" t="s">
        <v>71</v>
      </c>
    </row>
    <row r="29" ht="14.25" customHeight="1">
      <c r="G29" s="3" t="s">
        <v>72</v>
      </c>
    </row>
    <row r="30" ht="14.25" customHeight="1">
      <c r="G30" s="3" t="s">
        <v>73</v>
      </c>
    </row>
    <row r="31" ht="14.25" customHeight="1">
      <c r="G31" s="3" t="s">
        <v>74</v>
      </c>
    </row>
    <row r="32" ht="14.25" customHeight="1">
      <c r="G32" s="3" t="s">
        <v>75</v>
      </c>
    </row>
    <row r="33" ht="14.25" customHeight="1">
      <c r="G33" s="3" t="s">
        <v>76</v>
      </c>
    </row>
    <row r="34" ht="14.25" customHeight="1">
      <c r="G34" s="3" t="s">
        <v>77</v>
      </c>
    </row>
    <row r="35" ht="14.25" customHeight="1">
      <c r="G35" s="3" t="s">
        <v>78</v>
      </c>
    </row>
    <row r="36" ht="14.25" customHeight="1">
      <c r="G36" s="3" t="s">
        <v>79</v>
      </c>
    </row>
    <row r="37" ht="14.25" customHeight="1">
      <c r="G37" s="3" t="s">
        <v>80</v>
      </c>
    </row>
    <row r="38" ht="14.25" customHeight="1">
      <c r="G38" s="3" t="s">
        <v>81</v>
      </c>
    </row>
    <row r="39" ht="14.25" customHeight="1">
      <c r="G39" s="3" t="s">
        <v>82</v>
      </c>
    </row>
    <row r="40" ht="14.25" customHeight="1">
      <c r="G40" s="3" t="s">
        <v>83</v>
      </c>
    </row>
    <row r="41" ht="14.25" customHeight="1">
      <c r="G41" s="3" t="s">
        <v>84</v>
      </c>
    </row>
    <row r="42" ht="14.25" customHeight="1">
      <c r="G42" s="3" t="s">
        <v>85</v>
      </c>
    </row>
    <row r="43" ht="14.25" customHeight="1">
      <c r="G43" s="3" t="s">
        <v>86</v>
      </c>
    </row>
    <row r="44" ht="14.25" customHeight="1">
      <c r="G44" s="3" t="s">
        <v>87</v>
      </c>
    </row>
    <row r="45" ht="14.25" customHeight="1">
      <c r="G45" s="3" t="s">
        <v>88</v>
      </c>
    </row>
    <row r="46" ht="14.25" customHeight="1">
      <c r="G46" s="3" t="s">
        <v>89</v>
      </c>
    </row>
    <row r="47" ht="14.25" customHeight="1">
      <c r="G47" s="3" t="s">
        <v>90</v>
      </c>
    </row>
    <row r="48" ht="14.25" customHeight="1">
      <c r="G48" s="3" t="s">
        <v>91</v>
      </c>
    </row>
    <row r="49" ht="14.25" customHeight="1">
      <c r="G49" s="3" t="s">
        <v>92</v>
      </c>
    </row>
    <row r="50" ht="14.25" customHeight="1">
      <c r="G50" s="3" t="s">
        <v>93</v>
      </c>
    </row>
    <row r="51" ht="14.25" customHeight="1">
      <c r="G51" s="3" t="s">
        <v>94</v>
      </c>
    </row>
    <row r="52" ht="14.25" customHeight="1">
      <c r="G52" s="3" t="s">
        <v>95</v>
      </c>
    </row>
    <row r="53" ht="14.25" customHeight="1">
      <c r="G53" s="3" t="s">
        <v>96</v>
      </c>
    </row>
    <row r="54" ht="14.25" customHeight="1">
      <c r="G54" s="3" t="s">
        <v>97</v>
      </c>
    </row>
    <row r="55" ht="14.25" customHeight="1">
      <c r="G55" s="3" t="s">
        <v>98</v>
      </c>
    </row>
    <row r="56" ht="14.25" customHeight="1">
      <c r="G56" s="3" t="s">
        <v>99</v>
      </c>
    </row>
    <row r="57" ht="14.25" customHeight="1">
      <c r="G57" s="3" t="s">
        <v>100</v>
      </c>
    </row>
    <row r="58" ht="14.25" customHeight="1">
      <c r="G58" s="3" t="s">
        <v>101</v>
      </c>
    </row>
    <row r="59" ht="14.25" customHeight="1">
      <c r="G59" s="3" t="s">
        <v>102</v>
      </c>
    </row>
    <row r="60" ht="14.25" customHeight="1">
      <c r="G60" s="3" t="s">
        <v>103</v>
      </c>
    </row>
    <row r="61" ht="14.25" customHeight="1">
      <c r="G61" s="3" t="s">
        <v>104</v>
      </c>
    </row>
    <row r="62" ht="14.25" customHeight="1">
      <c r="G62" s="3" t="s">
        <v>105</v>
      </c>
    </row>
    <row r="63" ht="14.25" customHeight="1">
      <c r="G63" s="3" t="s">
        <v>106</v>
      </c>
    </row>
    <row r="64" ht="14.25" customHeight="1">
      <c r="G64" s="3" t="s">
        <v>107</v>
      </c>
    </row>
    <row r="65" ht="14.25" customHeight="1">
      <c r="G65" s="3" t="s">
        <v>108</v>
      </c>
    </row>
    <row r="66" ht="14.25" customHeight="1">
      <c r="G66" s="3" t="s">
        <v>109</v>
      </c>
    </row>
    <row r="67" ht="14.25" customHeight="1">
      <c r="G67" s="3" t="s">
        <v>110</v>
      </c>
    </row>
    <row r="68" ht="14.25" customHeight="1">
      <c r="G68" s="3" t="s">
        <v>111</v>
      </c>
    </row>
    <row r="69" ht="14.25" customHeight="1">
      <c r="G69" s="3" t="s">
        <v>112</v>
      </c>
    </row>
    <row r="70" ht="14.25" customHeight="1">
      <c r="G70" s="3" t="s">
        <v>113</v>
      </c>
    </row>
    <row r="71" ht="14.25" customHeight="1">
      <c r="G71" s="3" t="s">
        <v>114</v>
      </c>
    </row>
    <row r="72" ht="14.25" customHeight="1">
      <c r="G72" s="3" t="s">
        <v>115</v>
      </c>
    </row>
    <row r="73" ht="14.25" customHeight="1">
      <c r="G73" s="3" t="s">
        <v>116</v>
      </c>
    </row>
    <row r="74" ht="14.25" customHeight="1">
      <c r="G74" s="3" t="s">
        <v>117</v>
      </c>
    </row>
    <row r="75" ht="14.25" customHeight="1">
      <c r="G75" s="3" t="s">
        <v>118</v>
      </c>
    </row>
    <row r="76" ht="14.25" customHeight="1">
      <c r="G76" s="3" t="s">
        <v>119</v>
      </c>
    </row>
    <row r="77" ht="14.25" customHeight="1">
      <c r="G77" s="3" t="s">
        <v>120</v>
      </c>
    </row>
    <row r="78" ht="14.25" customHeight="1">
      <c r="G78" s="3" t="s">
        <v>121</v>
      </c>
    </row>
    <row r="79" ht="14.25" customHeight="1">
      <c r="G79" s="3" t="s">
        <v>122</v>
      </c>
    </row>
    <row r="80" ht="14.25" customHeight="1">
      <c r="G80" s="3" t="s">
        <v>123</v>
      </c>
    </row>
    <row r="81" ht="14.25" customHeight="1">
      <c r="G81" s="3" t="s">
        <v>124</v>
      </c>
    </row>
    <row r="82" ht="14.25" customHeight="1">
      <c r="G82" s="3" t="s">
        <v>125</v>
      </c>
    </row>
    <row r="83" ht="14.25" customHeight="1">
      <c r="G83" s="3" t="s">
        <v>126</v>
      </c>
    </row>
    <row r="84" ht="14.25" customHeight="1">
      <c r="G84" s="3" t="s">
        <v>127</v>
      </c>
    </row>
    <row r="85" ht="14.25" customHeight="1">
      <c r="G85" s="3" t="s">
        <v>128</v>
      </c>
    </row>
    <row r="86" ht="14.25" customHeight="1">
      <c r="G86" s="3" t="s">
        <v>129</v>
      </c>
    </row>
    <row r="87" ht="14.25" customHeight="1">
      <c r="G87" s="3" t="s">
        <v>130</v>
      </c>
    </row>
    <row r="88" ht="14.25" customHeight="1">
      <c r="G88" s="3" t="s">
        <v>131</v>
      </c>
    </row>
    <row r="89" ht="14.25" customHeight="1">
      <c r="G89" s="3" t="s">
        <v>132</v>
      </c>
    </row>
    <row r="90" ht="14.25" customHeight="1">
      <c r="G90" s="3" t="s">
        <v>133</v>
      </c>
    </row>
    <row r="91" ht="14.25" customHeight="1">
      <c r="G91" s="3" t="s">
        <v>134</v>
      </c>
    </row>
    <row r="92" ht="14.25" customHeight="1">
      <c r="G92" s="3" t="s">
        <v>135</v>
      </c>
    </row>
    <row r="93" ht="14.25" customHeight="1">
      <c r="G93" s="3" t="s">
        <v>136</v>
      </c>
    </row>
    <row r="94" ht="14.25" customHeight="1">
      <c r="G94" s="3" t="s">
        <v>137</v>
      </c>
    </row>
    <row r="95" ht="14.25" customHeight="1">
      <c r="G95" s="3" t="s">
        <v>138</v>
      </c>
    </row>
    <row r="96" ht="14.25" customHeight="1">
      <c r="G96" s="3" t="s">
        <v>139</v>
      </c>
    </row>
    <row r="97" ht="14.25" customHeight="1">
      <c r="G97" s="3" t="s">
        <v>140</v>
      </c>
    </row>
    <row r="98" ht="14.25" customHeight="1">
      <c r="G98" s="3" t="s">
        <v>141</v>
      </c>
    </row>
    <row r="99" ht="14.25" customHeight="1">
      <c r="G99" s="3" t="s">
        <v>142</v>
      </c>
    </row>
    <row r="100" ht="14.25" customHeight="1">
      <c r="G100" s="3" t="s">
        <v>143</v>
      </c>
    </row>
    <row r="101" ht="14.25" customHeight="1">
      <c r="G101" s="3" t="s">
        <v>144</v>
      </c>
    </row>
    <row r="102" ht="14.25" customHeight="1">
      <c r="G102" s="3" t="s">
        <v>145</v>
      </c>
    </row>
    <row r="103" ht="14.25" customHeight="1">
      <c r="G103" s="3" t="s">
        <v>146</v>
      </c>
    </row>
    <row r="104" ht="14.25" customHeight="1">
      <c r="G104" s="3" t="s">
        <v>147</v>
      </c>
    </row>
    <row r="105" ht="14.25" customHeight="1">
      <c r="G105" s="3" t="s">
        <v>148</v>
      </c>
    </row>
    <row r="106" ht="14.25" customHeight="1">
      <c r="G106" s="3" t="s">
        <v>149</v>
      </c>
    </row>
    <row r="107" ht="14.25" customHeight="1">
      <c r="G107" s="3" t="s">
        <v>150</v>
      </c>
    </row>
    <row r="108" ht="14.25" customHeight="1">
      <c r="G108" s="3" t="s">
        <v>151</v>
      </c>
    </row>
    <row r="109" ht="14.25" customHeight="1">
      <c r="G109" s="3" t="s">
        <v>152</v>
      </c>
    </row>
    <row r="110" ht="14.25" customHeight="1">
      <c r="G110" s="3" t="s">
        <v>153</v>
      </c>
    </row>
    <row r="111" ht="14.25" customHeight="1">
      <c r="G111" s="3" t="s">
        <v>154</v>
      </c>
    </row>
    <row r="112" ht="14.25" customHeight="1">
      <c r="G112" s="3" t="s">
        <v>155</v>
      </c>
    </row>
    <row r="113" ht="14.25" customHeight="1">
      <c r="G113" s="3" t="s">
        <v>156</v>
      </c>
    </row>
    <row r="114" ht="14.25" customHeight="1">
      <c r="G114" s="3" t="s">
        <v>157</v>
      </c>
    </row>
    <row r="115" ht="14.25" customHeight="1">
      <c r="G115" s="3" t="s">
        <v>158</v>
      </c>
    </row>
    <row r="116" ht="14.25" customHeight="1">
      <c r="G116" s="3" t="s">
        <v>159</v>
      </c>
    </row>
    <row r="117" ht="14.25" customHeight="1">
      <c r="G117" s="3" t="s">
        <v>160</v>
      </c>
    </row>
    <row r="118" ht="14.25" customHeight="1">
      <c r="G118" s="3" t="s">
        <v>161</v>
      </c>
    </row>
    <row r="119" ht="14.25" customHeight="1">
      <c r="G119" s="3" t="s">
        <v>162</v>
      </c>
    </row>
    <row r="120" ht="14.25" customHeight="1">
      <c r="G120" s="3" t="s">
        <v>163</v>
      </c>
    </row>
    <row r="121" ht="14.25" customHeight="1">
      <c r="G121" s="3" t="s">
        <v>164</v>
      </c>
    </row>
    <row r="122" ht="14.25" customHeight="1">
      <c r="G122" s="3" t="s">
        <v>165</v>
      </c>
    </row>
    <row r="123" ht="14.25" customHeight="1">
      <c r="G123" s="3" t="s">
        <v>166</v>
      </c>
    </row>
    <row r="124" ht="14.25" customHeight="1">
      <c r="G124" s="3" t="s">
        <v>167</v>
      </c>
    </row>
    <row r="125" ht="14.25" customHeight="1">
      <c r="G125" s="3" t="s">
        <v>168</v>
      </c>
    </row>
    <row r="126" ht="14.25" customHeight="1">
      <c r="G126" s="3" t="s">
        <v>169</v>
      </c>
    </row>
    <row r="127" ht="14.25" customHeight="1">
      <c r="G127" s="3" t="s">
        <v>170</v>
      </c>
    </row>
    <row r="128" ht="14.25" customHeight="1">
      <c r="G128" s="3" t="s">
        <v>171</v>
      </c>
    </row>
    <row r="129" ht="14.25" customHeight="1">
      <c r="G129" s="3" t="s">
        <v>172</v>
      </c>
    </row>
    <row r="130" ht="14.25" customHeight="1">
      <c r="G130" s="3" t="s">
        <v>173</v>
      </c>
    </row>
    <row r="131" ht="14.25" customHeight="1">
      <c r="G131" s="3" t="s">
        <v>174</v>
      </c>
    </row>
    <row r="132" ht="14.25" customHeight="1">
      <c r="G132" s="3" t="s">
        <v>175</v>
      </c>
    </row>
    <row r="133" ht="14.25" customHeight="1">
      <c r="G133" s="3" t="s">
        <v>176</v>
      </c>
    </row>
    <row r="134" ht="14.25" customHeight="1">
      <c r="G134" s="3" t="s">
        <v>177</v>
      </c>
    </row>
    <row r="135" ht="14.25" customHeight="1">
      <c r="G135" s="3" t="s">
        <v>178</v>
      </c>
    </row>
    <row r="136" ht="14.25" customHeight="1">
      <c r="G136" s="3" t="s">
        <v>179</v>
      </c>
    </row>
    <row r="137" ht="14.25" customHeight="1">
      <c r="G137" s="3" t="s">
        <v>180</v>
      </c>
    </row>
    <row r="138" ht="14.25" customHeight="1">
      <c r="G138" s="3" t="s">
        <v>181</v>
      </c>
    </row>
    <row r="139" ht="14.25" customHeight="1">
      <c r="G139" s="3" t="s">
        <v>182</v>
      </c>
    </row>
    <row r="140" ht="14.25" customHeight="1">
      <c r="G140" s="3" t="s">
        <v>183</v>
      </c>
    </row>
    <row r="141" ht="14.25" customHeight="1">
      <c r="G141" s="3" t="s">
        <v>184</v>
      </c>
    </row>
    <row r="142" ht="14.25" customHeight="1">
      <c r="G142" s="3" t="s">
        <v>185</v>
      </c>
    </row>
    <row r="143" ht="14.25" customHeight="1">
      <c r="G143" s="3" t="s">
        <v>186</v>
      </c>
    </row>
    <row r="144" ht="14.25" customHeight="1">
      <c r="G144" s="3" t="s">
        <v>187</v>
      </c>
    </row>
    <row r="145" ht="14.25" customHeight="1">
      <c r="G145" s="3" t="s">
        <v>188</v>
      </c>
    </row>
    <row r="146" ht="14.25" customHeight="1">
      <c r="G146" s="3" t="s">
        <v>189</v>
      </c>
    </row>
    <row r="147" ht="14.25" customHeight="1">
      <c r="G147" s="3" t="s">
        <v>190</v>
      </c>
    </row>
    <row r="148" ht="14.25" customHeight="1">
      <c r="G148" s="3" t="s">
        <v>191</v>
      </c>
    </row>
    <row r="149" ht="14.25" customHeight="1">
      <c r="G149" s="3" t="s">
        <v>192</v>
      </c>
    </row>
    <row r="150" ht="14.25" customHeight="1">
      <c r="G150" s="3" t="s">
        <v>193</v>
      </c>
    </row>
    <row r="151" ht="14.25" customHeight="1">
      <c r="G151" s="3" t="s">
        <v>194</v>
      </c>
    </row>
    <row r="152" ht="14.25" customHeight="1">
      <c r="G152" s="3" t="s">
        <v>195</v>
      </c>
    </row>
    <row r="153" ht="14.25" customHeight="1">
      <c r="G153" s="3" t="s">
        <v>196</v>
      </c>
    </row>
    <row r="154" ht="14.25" customHeight="1">
      <c r="G154" s="3" t="s">
        <v>197</v>
      </c>
    </row>
    <row r="155" ht="14.25" customHeight="1">
      <c r="G155" s="3" t="s">
        <v>198</v>
      </c>
    </row>
    <row r="156" ht="14.25" customHeight="1">
      <c r="G156" s="3" t="s">
        <v>199</v>
      </c>
    </row>
    <row r="157" ht="14.25" customHeight="1">
      <c r="G157" s="3" t="s">
        <v>200</v>
      </c>
    </row>
    <row r="158" ht="14.25" customHeight="1">
      <c r="G158" s="3" t="s">
        <v>201</v>
      </c>
    </row>
    <row r="159" ht="14.25" customHeight="1">
      <c r="G159" s="3" t="s">
        <v>202</v>
      </c>
    </row>
    <row r="160" ht="14.25" customHeight="1">
      <c r="G160" s="3" t="s">
        <v>203</v>
      </c>
    </row>
    <row r="161" ht="14.25" customHeight="1">
      <c r="G161" s="3" t="s">
        <v>204</v>
      </c>
    </row>
    <row r="162" ht="14.25" customHeight="1">
      <c r="G162" s="3" t="s">
        <v>205</v>
      </c>
    </row>
    <row r="163" ht="14.25" customHeight="1">
      <c r="G163" s="3" t="s">
        <v>206</v>
      </c>
    </row>
    <row r="164" ht="14.25" customHeight="1">
      <c r="G164" s="3" t="s">
        <v>207</v>
      </c>
    </row>
    <row r="165" ht="14.25" customHeight="1">
      <c r="G165" s="3" t="s">
        <v>208</v>
      </c>
    </row>
    <row r="166" ht="14.25" customHeight="1">
      <c r="G166" s="3" t="s">
        <v>209</v>
      </c>
    </row>
    <row r="167" ht="14.25" customHeight="1">
      <c r="G167" s="3" t="s">
        <v>210</v>
      </c>
    </row>
    <row r="168" ht="14.25" customHeight="1">
      <c r="G168" s="3" t="s">
        <v>211</v>
      </c>
    </row>
    <row r="169" ht="14.25" customHeight="1">
      <c r="G169" s="3" t="s">
        <v>212</v>
      </c>
    </row>
    <row r="170" ht="14.25" customHeight="1">
      <c r="G170" s="3" t="s">
        <v>213</v>
      </c>
    </row>
    <row r="171" ht="14.25" customHeight="1">
      <c r="G171" s="3" t="s">
        <v>214</v>
      </c>
    </row>
    <row r="172" ht="14.25" customHeight="1">
      <c r="G172" s="3" t="s">
        <v>215</v>
      </c>
    </row>
    <row r="173" ht="14.25" customHeight="1">
      <c r="G173" s="3" t="s">
        <v>216</v>
      </c>
    </row>
    <row r="174" ht="14.25" customHeight="1">
      <c r="G174" s="3" t="s">
        <v>217</v>
      </c>
    </row>
    <row r="175" ht="14.25" customHeight="1">
      <c r="G175" s="3" t="s">
        <v>218</v>
      </c>
    </row>
    <row r="176" ht="14.25" customHeight="1">
      <c r="G176" s="3" t="s">
        <v>219</v>
      </c>
    </row>
    <row r="177" ht="14.25" customHeight="1">
      <c r="G177" s="3" t="s">
        <v>220</v>
      </c>
    </row>
    <row r="178" ht="14.25" customHeight="1">
      <c r="G178" s="3" t="s">
        <v>221</v>
      </c>
    </row>
    <row r="179" ht="14.25" customHeight="1">
      <c r="G179" s="3" t="s">
        <v>222</v>
      </c>
    </row>
    <row r="180" ht="14.25" customHeight="1">
      <c r="G180" s="3" t="s">
        <v>223</v>
      </c>
    </row>
    <row r="181" ht="14.25" customHeight="1">
      <c r="G181" s="3" t="s">
        <v>224</v>
      </c>
    </row>
    <row r="182" ht="14.25" customHeight="1">
      <c r="G182" s="3" t="s">
        <v>225</v>
      </c>
    </row>
    <row r="183" ht="14.25" customHeight="1">
      <c r="G183" s="3" t="s">
        <v>226</v>
      </c>
    </row>
    <row r="184" ht="14.25" customHeight="1">
      <c r="G184" s="3" t="s">
        <v>227</v>
      </c>
    </row>
    <row r="185" ht="14.25" customHeight="1">
      <c r="G185" s="3" t="s">
        <v>228</v>
      </c>
    </row>
    <row r="186" ht="14.25" customHeight="1">
      <c r="G186" s="3" t="s">
        <v>229</v>
      </c>
    </row>
    <row r="187" ht="14.25" customHeight="1">
      <c r="G187" s="3" t="s">
        <v>230</v>
      </c>
    </row>
    <row r="188" ht="14.25" customHeight="1">
      <c r="G188" s="3" t="s">
        <v>231</v>
      </c>
    </row>
    <row r="189" ht="14.25" customHeight="1">
      <c r="G189" s="3" t="s">
        <v>232</v>
      </c>
    </row>
    <row r="190" ht="14.25" customHeight="1">
      <c r="G190" s="3" t="s">
        <v>233</v>
      </c>
    </row>
    <row r="191" ht="14.25" customHeight="1">
      <c r="G191" s="3" t="s">
        <v>234</v>
      </c>
    </row>
    <row r="192" ht="14.25" customHeight="1">
      <c r="G192" s="3" t="s">
        <v>235</v>
      </c>
    </row>
    <row r="193" ht="14.25" customHeight="1">
      <c r="G193" s="3" t="s">
        <v>236</v>
      </c>
    </row>
    <row r="194" ht="14.25" customHeight="1">
      <c r="G194" s="3" t="s">
        <v>237</v>
      </c>
    </row>
    <row r="195" ht="14.25" customHeight="1">
      <c r="G195" s="3" t="s">
        <v>238</v>
      </c>
    </row>
    <row r="196" ht="14.25" customHeight="1">
      <c r="G196" s="3" t="s">
        <v>239</v>
      </c>
    </row>
    <row r="197" ht="14.25" customHeight="1">
      <c r="G197" s="3" t="s">
        <v>240</v>
      </c>
    </row>
    <row r="198" ht="14.25" customHeight="1">
      <c r="G198" s="3" t="s">
        <v>241</v>
      </c>
    </row>
    <row r="199" ht="14.25" customHeight="1">
      <c r="G199" s="3" t="s">
        <v>242</v>
      </c>
    </row>
    <row r="200" ht="14.25" customHeight="1">
      <c r="G200" s="3" t="s">
        <v>243</v>
      </c>
    </row>
    <row r="201" ht="14.25" customHeight="1">
      <c r="G201" s="3" t="s">
        <v>244</v>
      </c>
    </row>
    <row r="202" ht="14.25" customHeight="1">
      <c r="G202" s="3" t="s">
        <v>245</v>
      </c>
    </row>
    <row r="203" ht="14.25" customHeight="1">
      <c r="G203" s="3" t="s">
        <v>246</v>
      </c>
    </row>
    <row r="204" ht="14.25" customHeight="1">
      <c r="G204" s="3" t="s">
        <v>247</v>
      </c>
    </row>
    <row r="205" ht="14.25" customHeight="1">
      <c r="G205" s="3" t="s">
        <v>248</v>
      </c>
    </row>
    <row r="206" ht="14.25" customHeight="1">
      <c r="G206" s="3" t="s">
        <v>249</v>
      </c>
    </row>
    <row r="207" ht="14.25" customHeight="1">
      <c r="G207" s="3" t="s">
        <v>250</v>
      </c>
    </row>
    <row r="208" ht="14.25" customHeight="1">
      <c r="G208" s="3" t="s">
        <v>251</v>
      </c>
    </row>
    <row r="209" ht="14.25" customHeight="1">
      <c r="G209" s="3" t="s">
        <v>252</v>
      </c>
    </row>
    <row r="210" ht="14.25" customHeight="1">
      <c r="G210" s="3" t="s">
        <v>253</v>
      </c>
    </row>
    <row r="211" ht="14.25" customHeight="1">
      <c r="G211" s="3" t="s">
        <v>254</v>
      </c>
    </row>
    <row r="212" ht="14.25" customHeight="1">
      <c r="G212" s="3" t="s">
        <v>255</v>
      </c>
    </row>
    <row r="213" ht="14.25" customHeight="1">
      <c r="G213" s="3" t="s">
        <v>256</v>
      </c>
    </row>
    <row r="214" ht="14.25" customHeight="1">
      <c r="G214" s="3" t="s">
        <v>257</v>
      </c>
    </row>
    <row r="215" ht="14.25" customHeight="1">
      <c r="G215" s="3" t="s">
        <v>258</v>
      </c>
    </row>
    <row r="216" ht="14.25" customHeight="1">
      <c r="G216" s="3" t="s">
        <v>259</v>
      </c>
    </row>
    <row r="217" ht="14.25" customHeight="1">
      <c r="G217" s="3" t="s">
        <v>260</v>
      </c>
    </row>
    <row r="218" ht="14.25" customHeight="1">
      <c r="G218" s="3" t="s">
        <v>261</v>
      </c>
    </row>
    <row r="219" ht="14.25" customHeight="1">
      <c r="G219" s="3" t="s">
        <v>262</v>
      </c>
    </row>
    <row r="220" ht="14.25" customHeight="1">
      <c r="G220" s="3" t="s">
        <v>263</v>
      </c>
    </row>
    <row r="221" ht="14.25" customHeight="1">
      <c r="G221" s="3" t="s">
        <v>264</v>
      </c>
    </row>
    <row r="222" ht="14.25" customHeight="1">
      <c r="G222" s="3" t="s">
        <v>265</v>
      </c>
    </row>
    <row r="223" ht="14.25" customHeight="1">
      <c r="G223" s="3" t="s">
        <v>266</v>
      </c>
    </row>
    <row r="224" ht="14.25" customHeight="1">
      <c r="G224" s="3" t="s">
        <v>267</v>
      </c>
    </row>
    <row r="225" ht="14.25" customHeight="1">
      <c r="G225" s="3" t="s">
        <v>268</v>
      </c>
    </row>
    <row r="226" ht="14.25" customHeight="1">
      <c r="G226" s="3" t="s">
        <v>269</v>
      </c>
    </row>
    <row r="227" ht="14.25" customHeight="1">
      <c r="G227" s="3" t="s">
        <v>270</v>
      </c>
    </row>
    <row r="228" ht="14.25" customHeight="1">
      <c r="G228" s="3" t="s">
        <v>271</v>
      </c>
    </row>
    <row r="229" ht="14.25" customHeight="1">
      <c r="G229" s="3" t="s">
        <v>272</v>
      </c>
    </row>
    <row r="230" ht="14.25" customHeight="1">
      <c r="G230" s="3" t="s">
        <v>273</v>
      </c>
    </row>
    <row r="231" ht="14.25" customHeight="1">
      <c r="G231" s="3" t="s">
        <v>274</v>
      </c>
    </row>
    <row r="232" ht="14.25" customHeight="1">
      <c r="G232" s="3" t="s">
        <v>275</v>
      </c>
    </row>
    <row r="233" ht="14.25" customHeight="1">
      <c r="G233" s="3" t="s">
        <v>276</v>
      </c>
    </row>
    <row r="234" ht="14.25" customHeight="1">
      <c r="G234" s="3" t="s">
        <v>277</v>
      </c>
    </row>
    <row r="235" ht="14.25" customHeight="1">
      <c r="G235" s="3" t="s">
        <v>278</v>
      </c>
    </row>
    <row r="236" ht="14.25" customHeight="1">
      <c r="G236" s="3" t="s">
        <v>279</v>
      </c>
    </row>
    <row r="237" ht="14.25" customHeight="1">
      <c r="G237" s="3" t="s">
        <v>280</v>
      </c>
    </row>
    <row r="238" ht="14.25" customHeight="1">
      <c r="G238" s="3" t="s">
        <v>281</v>
      </c>
    </row>
    <row r="239" ht="14.25" customHeight="1">
      <c r="G239" s="3" t="s">
        <v>282</v>
      </c>
    </row>
    <row r="240" ht="14.25" customHeight="1">
      <c r="G240" s="3" t="s">
        <v>283</v>
      </c>
    </row>
    <row r="241" ht="14.25" customHeight="1">
      <c r="G241" s="3" t="s">
        <v>284</v>
      </c>
    </row>
    <row r="242" ht="14.25" customHeight="1">
      <c r="G242" s="3" t="s">
        <v>285</v>
      </c>
    </row>
    <row r="243" ht="14.25" customHeight="1">
      <c r="G243" s="3" t="s">
        <v>286</v>
      </c>
    </row>
    <row r="244" ht="14.25" customHeight="1">
      <c r="G244" s="3" t="s">
        <v>287</v>
      </c>
    </row>
    <row r="245" ht="14.25" customHeight="1">
      <c r="G245" s="3" t="s">
        <v>288</v>
      </c>
    </row>
    <row r="246" ht="14.25" customHeight="1">
      <c r="G246" s="3" t="s">
        <v>289</v>
      </c>
    </row>
    <row r="247" ht="14.25" customHeight="1">
      <c r="G247" s="3" t="s">
        <v>290</v>
      </c>
    </row>
    <row r="248" ht="14.25" customHeight="1">
      <c r="G248" s="3" t="s">
        <v>291</v>
      </c>
    </row>
    <row r="249" ht="14.25" customHeight="1">
      <c r="G249" s="3" t="s">
        <v>292</v>
      </c>
    </row>
    <row r="250" ht="14.25" customHeight="1">
      <c r="G250" s="3" t="s">
        <v>293</v>
      </c>
    </row>
    <row r="251" ht="14.25" customHeight="1">
      <c r="G251" s="3" t="s">
        <v>294</v>
      </c>
    </row>
    <row r="252" ht="14.25" customHeight="1">
      <c r="G252" s="3" t="s">
        <v>295</v>
      </c>
    </row>
    <row r="253" ht="14.25" customHeight="1">
      <c r="G253" s="3" t="s">
        <v>296</v>
      </c>
    </row>
    <row r="254" ht="14.25" customHeight="1">
      <c r="G254" s="3" t="s">
        <v>297</v>
      </c>
    </row>
    <row r="255" ht="14.25" customHeight="1">
      <c r="G255" s="3" t="s">
        <v>298</v>
      </c>
    </row>
    <row r="256" ht="14.25" customHeight="1">
      <c r="G256" s="3" t="s">
        <v>299</v>
      </c>
    </row>
    <row r="257" ht="14.25" customHeight="1">
      <c r="G257" s="3" t="s">
        <v>300</v>
      </c>
    </row>
    <row r="258" ht="14.25" customHeight="1">
      <c r="G258" s="3" t="s">
        <v>301</v>
      </c>
    </row>
    <row r="259" ht="14.25" customHeight="1">
      <c r="G259" s="3" t="s">
        <v>302</v>
      </c>
    </row>
    <row r="260" ht="14.25" customHeight="1">
      <c r="G260" s="3" t="s">
        <v>303</v>
      </c>
    </row>
    <row r="261" ht="14.25" customHeight="1">
      <c r="G261" s="3" t="s">
        <v>304</v>
      </c>
    </row>
    <row r="262" ht="14.25" customHeight="1">
      <c r="G262" s="3" t="s">
        <v>305</v>
      </c>
    </row>
    <row r="263" ht="14.25" customHeight="1">
      <c r="G263" s="3" t="s">
        <v>306</v>
      </c>
    </row>
    <row r="264" ht="14.25" customHeight="1">
      <c r="G264" s="3" t="s">
        <v>307</v>
      </c>
    </row>
    <row r="265" ht="14.25" customHeight="1">
      <c r="G265" s="3" t="s">
        <v>308</v>
      </c>
    </row>
    <row r="266" ht="14.25" customHeight="1">
      <c r="G266" s="3" t="s">
        <v>309</v>
      </c>
    </row>
    <row r="267" ht="14.25" customHeight="1">
      <c r="G267" s="3" t="s">
        <v>310</v>
      </c>
    </row>
    <row r="268" ht="14.25" customHeight="1">
      <c r="G268" s="3" t="s">
        <v>311</v>
      </c>
    </row>
    <row r="269" ht="14.25" customHeight="1">
      <c r="G269" s="3" t="s">
        <v>312</v>
      </c>
    </row>
    <row r="270" ht="14.25" customHeight="1">
      <c r="G270" s="3" t="s">
        <v>313</v>
      </c>
    </row>
    <row r="271" ht="14.25" customHeight="1">
      <c r="G271" s="3" t="s">
        <v>314</v>
      </c>
    </row>
    <row r="272" ht="14.25" customHeight="1">
      <c r="G272" s="3" t="s">
        <v>315</v>
      </c>
    </row>
    <row r="273" ht="14.25" customHeight="1">
      <c r="G273" s="3" t="s">
        <v>316</v>
      </c>
    </row>
    <row r="274" ht="14.25" customHeight="1">
      <c r="G274" s="3" t="s">
        <v>317</v>
      </c>
    </row>
    <row r="275" ht="14.25" customHeight="1">
      <c r="G275" s="3" t="s">
        <v>318</v>
      </c>
    </row>
    <row r="276" ht="14.25" customHeight="1">
      <c r="G276" s="3" t="s">
        <v>319</v>
      </c>
    </row>
    <row r="277" ht="14.25" customHeight="1">
      <c r="G277" s="3" t="s">
        <v>320</v>
      </c>
    </row>
    <row r="278" ht="14.25" customHeight="1">
      <c r="G278" s="3" t="s">
        <v>321</v>
      </c>
    </row>
    <row r="279" ht="14.25" customHeight="1">
      <c r="G279" s="3" t="s">
        <v>322</v>
      </c>
    </row>
    <row r="280" ht="14.25" customHeight="1">
      <c r="G280" s="3" t="s">
        <v>323</v>
      </c>
    </row>
    <row r="281" ht="14.25" customHeight="1">
      <c r="G281" s="3" t="s">
        <v>324</v>
      </c>
    </row>
    <row r="282" ht="14.25" customHeight="1">
      <c r="G282" s="3" t="s">
        <v>325</v>
      </c>
    </row>
    <row r="283" ht="14.25" customHeight="1">
      <c r="G283" s="3" t="s">
        <v>326</v>
      </c>
    </row>
    <row r="284" ht="14.25" customHeight="1">
      <c r="G284" s="3" t="s">
        <v>327</v>
      </c>
    </row>
    <row r="285" ht="14.25" customHeight="1">
      <c r="G285" s="3" t="s">
        <v>328</v>
      </c>
    </row>
    <row r="286" ht="14.25" customHeight="1">
      <c r="G286" s="3" t="s">
        <v>329</v>
      </c>
    </row>
    <row r="287" ht="14.25" customHeight="1">
      <c r="G287" s="3" t="s">
        <v>330</v>
      </c>
    </row>
    <row r="288" ht="14.25" customHeight="1">
      <c r="G288" s="3" t="s">
        <v>331</v>
      </c>
    </row>
    <row r="289" ht="14.25" customHeight="1">
      <c r="G289" s="3" t="s">
        <v>332</v>
      </c>
    </row>
    <row r="290" ht="14.25" customHeight="1">
      <c r="G290" s="3" t="s">
        <v>333</v>
      </c>
    </row>
    <row r="291" ht="14.25" customHeight="1">
      <c r="G291" s="3" t="s">
        <v>334</v>
      </c>
    </row>
    <row r="292" ht="14.25" customHeight="1">
      <c r="G292" s="3" t="s">
        <v>335</v>
      </c>
    </row>
    <row r="293" ht="14.25" customHeight="1">
      <c r="G293" s="3" t="s">
        <v>336</v>
      </c>
    </row>
    <row r="294" ht="14.25" customHeight="1">
      <c r="G294" s="3" t="s">
        <v>337</v>
      </c>
    </row>
    <row r="295" ht="14.25" customHeight="1">
      <c r="G295" s="3" t="s">
        <v>338</v>
      </c>
    </row>
    <row r="296" ht="14.25" customHeight="1">
      <c r="G296" s="3" t="s">
        <v>339</v>
      </c>
    </row>
    <row r="297" ht="14.25" customHeight="1">
      <c r="G297" s="3" t="s">
        <v>340</v>
      </c>
    </row>
    <row r="298" ht="14.25" customHeight="1">
      <c r="G298" s="3" t="s">
        <v>341</v>
      </c>
    </row>
    <row r="299" ht="14.25" customHeight="1">
      <c r="G299" s="3" t="s">
        <v>342</v>
      </c>
    </row>
    <row r="300" ht="14.25" customHeight="1">
      <c r="G300" s="3" t="s">
        <v>343</v>
      </c>
    </row>
    <row r="301" ht="14.25" customHeight="1">
      <c r="G301" s="3" t="s">
        <v>344</v>
      </c>
    </row>
    <row r="302" ht="14.25" customHeight="1">
      <c r="G302" s="3" t="s">
        <v>345</v>
      </c>
    </row>
    <row r="303" ht="14.25" customHeight="1">
      <c r="G303" s="3" t="s">
        <v>346</v>
      </c>
    </row>
    <row r="304" ht="14.25" customHeight="1">
      <c r="G304" s="3" t="s">
        <v>347</v>
      </c>
    </row>
    <row r="305" ht="14.25" customHeight="1">
      <c r="G305" s="3" t="s">
        <v>348</v>
      </c>
    </row>
    <row r="306" ht="14.25" customHeight="1">
      <c r="G306" s="3" t="s">
        <v>349</v>
      </c>
    </row>
    <row r="307" ht="14.25" customHeight="1">
      <c r="G307" s="3" t="s">
        <v>350</v>
      </c>
    </row>
    <row r="308" ht="14.25" customHeight="1">
      <c r="G308" s="3" t="s">
        <v>351</v>
      </c>
    </row>
    <row r="309" ht="14.25" customHeight="1">
      <c r="G309" s="3" t="s">
        <v>352</v>
      </c>
    </row>
    <row r="310" ht="14.25" customHeight="1">
      <c r="G310" s="3" t="s">
        <v>353</v>
      </c>
    </row>
    <row r="311" ht="14.25" customHeight="1">
      <c r="G311" s="3" t="s">
        <v>354</v>
      </c>
    </row>
    <row r="312" ht="14.25" customHeight="1">
      <c r="G312" s="3" t="s">
        <v>355</v>
      </c>
    </row>
    <row r="313" ht="14.25" customHeight="1">
      <c r="G313" s="3" t="s">
        <v>356</v>
      </c>
    </row>
    <row r="314" ht="14.25" customHeight="1">
      <c r="G314" s="3" t="s">
        <v>357</v>
      </c>
    </row>
    <row r="315" ht="14.25" customHeight="1">
      <c r="G315" s="3" t="s">
        <v>358</v>
      </c>
    </row>
    <row r="316" ht="14.25" customHeight="1">
      <c r="G316" s="3" t="s">
        <v>359</v>
      </c>
    </row>
    <row r="317" ht="14.25" customHeight="1">
      <c r="G317" s="3" t="s">
        <v>360</v>
      </c>
    </row>
    <row r="318" ht="14.25" customHeight="1">
      <c r="G318" s="3" t="s">
        <v>361</v>
      </c>
    </row>
    <row r="319" ht="14.25" customHeight="1">
      <c r="G319" s="3" t="s">
        <v>362</v>
      </c>
    </row>
    <row r="320" ht="14.25" customHeight="1">
      <c r="G320" s="3" t="s">
        <v>363</v>
      </c>
    </row>
    <row r="321" ht="14.25" customHeight="1">
      <c r="G321" s="3" t="s">
        <v>364</v>
      </c>
    </row>
    <row r="322" ht="14.25" customHeight="1">
      <c r="G322" s="3" t="s">
        <v>365</v>
      </c>
    </row>
    <row r="323" ht="14.25" customHeight="1">
      <c r="G323" s="3" t="s">
        <v>366</v>
      </c>
    </row>
    <row r="324" ht="14.25" customHeight="1">
      <c r="G324" s="3" t="s">
        <v>367</v>
      </c>
    </row>
    <row r="325" ht="14.25" customHeight="1">
      <c r="G325" s="3" t="s">
        <v>368</v>
      </c>
    </row>
    <row r="326" ht="14.25" customHeight="1">
      <c r="G326" s="3" t="s">
        <v>369</v>
      </c>
    </row>
    <row r="327" ht="14.25" customHeight="1">
      <c r="G327" s="3" t="s">
        <v>370</v>
      </c>
    </row>
    <row r="328" ht="14.25" customHeight="1">
      <c r="G328" s="3" t="s">
        <v>371</v>
      </c>
    </row>
    <row r="329" ht="14.25" customHeight="1">
      <c r="G329" s="3" t="s">
        <v>372</v>
      </c>
    </row>
    <row r="330" ht="14.25" customHeight="1">
      <c r="G330" s="3" t="s">
        <v>373</v>
      </c>
    </row>
    <row r="331" ht="14.25" customHeight="1">
      <c r="G331" s="3" t="s">
        <v>374</v>
      </c>
    </row>
    <row r="332" ht="14.25" customHeight="1">
      <c r="G332" s="3" t="s">
        <v>375</v>
      </c>
    </row>
    <row r="333" ht="14.25" customHeight="1">
      <c r="G333" s="3" t="s">
        <v>376</v>
      </c>
    </row>
    <row r="334" ht="14.25" customHeight="1">
      <c r="G334" s="3" t="s">
        <v>377</v>
      </c>
    </row>
    <row r="335" ht="14.25" customHeight="1">
      <c r="G335" s="3" t="s">
        <v>378</v>
      </c>
    </row>
    <row r="336" ht="14.25" customHeight="1">
      <c r="G336" s="3" t="s">
        <v>379</v>
      </c>
    </row>
    <row r="337" ht="14.25" customHeight="1">
      <c r="G337" s="3" t="s">
        <v>380</v>
      </c>
    </row>
    <row r="338" ht="14.25" customHeight="1">
      <c r="G338" s="3" t="s">
        <v>381</v>
      </c>
    </row>
    <row r="339" ht="14.25" customHeight="1">
      <c r="G339" s="3" t="s">
        <v>382</v>
      </c>
    </row>
    <row r="340" ht="14.25" customHeight="1">
      <c r="G340" s="3" t="s">
        <v>383</v>
      </c>
    </row>
    <row r="341" ht="14.25" customHeight="1">
      <c r="G341" s="3" t="s">
        <v>384</v>
      </c>
    </row>
    <row r="342" ht="14.25" customHeight="1">
      <c r="G342" s="3" t="s">
        <v>385</v>
      </c>
    </row>
    <row r="343" ht="14.25" customHeight="1">
      <c r="G343" s="3" t="s">
        <v>386</v>
      </c>
    </row>
    <row r="344" ht="14.25" customHeight="1">
      <c r="G344" s="3" t="s">
        <v>387</v>
      </c>
    </row>
    <row r="345" ht="14.25" customHeight="1">
      <c r="G345" s="3" t="s">
        <v>388</v>
      </c>
    </row>
    <row r="346" ht="14.25" customHeight="1">
      <c r="G346" s="3" t="s">
        <v>389</v>
      </c>
    </row>
    <row r="347" ht="14.25" customHeight="1">
      <c r="G347" s="3" t="s">
        <v>390</v>
      </c>
    </row>
    <row r="348" ht="14.25" customHeight="1">
      <c r="G348" s="3" t="s">
        <v>391</v>
      </c>
    </row>
    <row r="349" ht="14.25" customHeight="1">
      <c r="G349" s="3" t="s">
        <v>392</v>
      </c>
    </row>
    <row r="350" ht="14.25" customHeight="1">
      <c r="G350" s="3" t="s">
        <v>393</v>
      </c>
    </row>
    <row r="351" ht="14.25" customHeight="1">
      <c r="G351" s="3" t="s">
        <v>394</v>
      </c>
    </row>
    <row r="352" ht="14.25" customHeight="1">
      <c r="G352" s="3" t="s">
        <v>395</v>
      </c>
    </row>
    <row r="353" ht="14.25" customHeight="1">
      <c r="G353" s="3" t="s">
        <v>396</v>
      </c>
    </row>
    <row r="354" ht="14.25" customHeight="1">
      <c r="G354" s="3" t="s">
        <v>397</v>
      </c>
    </row>
    <row r="355" ht="14.25" customHeight="1">
      <c r="G355" s="3" t="s">
        <v>398</v>
      </c>
    </row>
    <row r="356" ht="14.25" customHeight="1">
      <c r="G356" s="3" t="s">
        <v>399</v>
      </c>
    </row>
    <row r="357" ht="14.25" customHeight="1">
      <c r="G357" s="3" t="s">
        <v>400</v>
      </c>
    </row>
    <row r="358" ht="14.25" customHeight="1">
      <c r="G358" s="3" t="s">
        <v>401</v>
      </c>
    </row>
    <row r="359" ht="14.25" customHeight="1">
      <c r="G359" s="3" t="s">
        <v>402</v>
      </c>
    </row>
    <row r="360" ht="14.25" customHeight="1">
      <c r="G360" s="3" t="s">
        <v>403</v>
      </c>
    </row>
    <row r="361" ht="14.25" customHeight="1">
      <c r="G361" s="3" t="s">
        <v>404</v>
      </c>
    </row>
    <row r="362" ht="14.25" customHeight="1">
      <c r="G362" s="3" t="s">
        <v>405</v>
      </c>
    </row>
    <row r="363" ht="14.25" customHeight="1">
      <c r="G363" s="3" t="s">
        <v>406</v>
      </c>
    </row>
    <row r="364" ht="14.25" customHeight="1">
      <c r="G364" s="3" t="s">
        <v>407</v>
      </c>
    </row>
    <row r="365" ht="14.25" customHeight="1">
      <c r="G365" s="3" t="s">
        <v>408</v>
      </c>
    </row>
    <row r="366" ht="14.25" customHeight="1">
      <c r="G366" s="3" t="s">
        <v>409</v>
      </c>
    </row>
    <row r="367" ht="14.25" customHeight="1">
      <c r="G367" s="3" t="s">
        <v>410</v>
      </c>
    </row>
    <row r="368" ht="14.25" customHeight="1">
      <c r="G368" s="3" t="s">
        <v>411</v>
      </c>
    </row>
    <row r="369" ht="14.25" customHeight="1">
      <c r="G369" s="3" t="s">
        <v>412</v>
      </c>
    </row>
    <row r="370" ht="14.25" customHeight="1">
      <c r="G370" s="3" t="s">
        <v>413</v>
      </c>
    </row>
    <row r="371" ht="14.25" customHeight="1">
      <c r="G371" s="3" t="s">
        <v>414</v>
      </c>
    </row>
    <row r="372" ht="14.25" customHeight="1">
      <c r="G372" s="3" t="s">
        <v>415</v>
      </c>
    </row>
    <row r="373" ht="14.25" customHeight="1">
      <c r="G373" s="3" t="s">
        <v>416</v>
      </c>
    </row>
    <row r="374" ht="14.25" customHeight="1">
      <c r="G374" s="3" t="s">
        <v>417</v>
      </c>
    </row>
    <row r="375" ht="14.25" customHeight="1">
      <c r="G375" s="3" t="s">
        <v>418</v>
      </c>
    </row>
    <row r="376" ht="14.25" customHeight="1">
      <c r="G376" s="3" t="s">
        <v>419</v>
      </c>
    </row>
    <row r="377" ht="14.25" customHeight="1">
      <c r="G377" s="3" t="s">
        <v>420</v>
      </c>
    </row>
    <row r="378" ht="14.25" customHeight="1">
      <c r="G378" s="3" t="s">
        <v>421</v>
      </c>
    </row>
    <row r="379" ht="14.25" customHeight="1">
      <c r="G379" s="3" t="s">
        <v>422</v>
      </c>
    </row>
    <row r="380" ht="14.25" customHeight="1">
      <c r="G380" s="3" t="s">
        <v>423</v>
      </c>
    </row>
    <row r="381" ht="14.25" customHeight="1">
      <c r="G381" s="3" t="s">
        <v>424</v>
      </c>
    </row>
    <row r="382" ht="14.25" customHeight="1">
      <c r="G382" s="3" t="s">
        <v>425</v>
      </c>
    </row>
    <row r="383" ht="14.25" customHeight="1">
      <c r="G383" s="3" t="s">
        <v>426</v>
      </c>
    </row>
    <row r="384" ht="14.25" customHeight="1">
      <c r="G384" s="3" t="s">
        <v>427</v>
      </c>
    </row>
    <row r="385" ht="14.25" customHeight="1">
      <c r="G385" s="3" t="s">
        <v>428</v>
      </c>
    </row>
    <row r="386" ht="14.25" customHeight="1">
      <c r="G386" s="3" t="s">
        <v>429</v>
      </c>
    </row>
    <row r="387" ht="14.25" customHeight="1">
      <c r="G387" s="3" t="s">
        <v>430</v>
      </c>
    </row>
    <row r="388" ht="14.25" customHeight="1">
      <c r="G388" s="3" t="s">
        <v>431</v>
      </c>
    </row>
    <row r="389" ht="14.25" customHeight="1">
      <c r="G389" s="3" t="s">
        <v>432</v>
      </c>
    </row>
    <row r="390" ht="14.25" customHeight="1">
      <c r="G390" s="3" t="s">
        <v>433</v>
      </c>
    </row>
    <row r="391" ht="14.25" customHeight="1">
      <c r="G391" s="3" t="s">
        <v>434</v>
      </c>
    </row>
    <row r="392" ht="14.25" customHeight="1">
      <c r="G392" s="3" t="s">
        <v>435</v>
      </c>
    </row>
    <row r="393" ht="14.25" customHeight="1">
      <c r="G393" s="3" t="s">
        <v>436</v>
      </c>
    </row>
    <row r="394" ht="14.25" customHeight="1">
      <c r="G394" s="3" t="s">
        <v>437</v>
      </c>
    </row>
    <row r="395" ht="14.25" customHeight="1">
      <c r="G395" s="3" t="s">
        <v>438</v>
      </c>
    </row>
    <row r="396" ht="14.25" customHeight="1">
      <c r="G396" s="3" t="s">
        <v>439</v>
      </c>
    </row>
    <row r="397" ht="14.25" customHeight="1">
      <c r="G397" s="3" t="s">
        <v>440</v>
      </c>
    </row>
    <row r="398" ht="14.25" customHeight="1">
      <c r="G398" s="3" t="s">
        <v>441</v>
      </c>
    </row>
    <row r="399" ht="14.25" customHeight="1">
      <c r="G399" s="3" t="s">
        <v>442</v>
      </c>
    </row>
    <row r="400" ht="14.25" customHeight="1">
      <c r="G400" s="3" t="s">
        <v>443</v>
      </c>
    </row>
    <row r="401" ht="14.25" customHeight="1">
      <c r="G401" s="3" t="s">
        <v>444</v>
      </c>
    </row>
    <row r="402" ht="14.25" customHeight="1">
      <c r="G402" s="3" t="s">
        <v>445</v>
      </c>
    </row>
    <row r="403" ht="14.25" customHeight="1">
      <c r="G403" s="3" t="s">
        <v>446</v>
      </c>
    </row>
    <row r="404" ht="14.25" customHeight="1">
      <c r="G404" s="3" t="s">
        <v>447</v>
      </c>
    </row>
    <row r="405" ht="14.25" customHeight="1">
      <c r="G405" s="3" t="s">
        <v>448</v>
      </c>
    </row>
    <row r="406" ht="14.25" customHeight="1">
      <c r="G406" s="3" t="s">
        <v>449</v>
      </c>
    </row>
    <row r="407" ht="14.25" customHeight="1">
      <c r="G407" s="3" t="s">
        <v>450</v>
      </c>
    </row>
    <row r="408" ht="14.25" customHeight="1">
      <c r="G408" s="3" t="s">
        <v>451</v>
      </c>
    </row>
    <row r="409" ht="14.25" customHeight="1">
      <c r="G409" s="3" t="s">
        <v>452</v>
      </c>
    </row>
    <row r="410" ht="14.25" customHeight="1">
      <c r="G410" s="3" t="s">
        <v>453</v>
      </c>
    </row>
    <row r="411" ht="14.25" customHeight="1">
      <c r="G411" s="3" t="s">
        <v>454</v>
      </c>
    </row>
    <row r="412" ht="14.25" customHeight="1">
      <c r="G412" s="3" t="s">
        <v>455</v>
      </c>
    </row>
    <row r="413" ht="14.25" customHeight="1">
      <c r="G413" s="3" t="s">
        <v>456</v>
      </c>
    </row>
    <row r="414" ht="14.25" customHeight="1">
      <c r="G414" s="3" t="s">
        <v>457</v>
      </c>
    </row>
    <row r="415" ht="14.25" customHeight="1">
      <c r="G415" s="3" t="s">
        <v>458</v>
      </c>
    </row>
    <row r="416" ht="14.25" customHeight="1">
      <c r="G416" s="3" t="s">
        <v>459</v>
      </c>
    </row>
    <row r="417" ht="14.25" customHeight="1">
      <c r="G417" s="3" t="s">
        <v>460</v>
      </c>
    </row>
    <row r="418" ht="14.25" customHeight="1">
      <c r="G418" s="3" t="s">
        <v>461</v>
      </c>
    </row>
    <row r="419" ht="14.25" customHeight="1">
      <c r="G419" s="3" t="s">
        <v>462</v>
      </c>
    </row>
    <row r="420" ht="14.25" customHeight="1">
      <c r="G420" s="3" t="s">
        <v>463</v>
      </c>
    </row>
    <row r="421" ht="14.25" customHeight="1">
      <c r="G421" s="3" t="s">
        <v>464</v>
      </c>
    </row>
    <row r="422" ht="14.25" customHeight="1">
      <c r="G422" s="3" t="s">
        <v>465</v>
      </c>
    </row>
    <row r="423" ht="14.25" customHeight="1">
      <c r="G423" s="3" t="s">
        <v>466</v>
      </c>
    </row>
    <row r="424" ht="14.25" customHeight="1">
      <c r="G424" s="3" t="s">
        <v>467</v>
      </c>
    </row>
    <row r="425" ht="14.25" customHeight="1">
      <c r="G425" s="3" t="s">
        <v>468</v>
      </c>
    </row>
    <row r="426" ht="14.25" customHeight="1">
      <c r="G426" s="3" t="s">
        <v>469</v>
      </c>
    </row>
    <row r="427" ht="14.25" customHeight="1">
      <c r="G427" s="3" t="s">
        <v>470</v>
      </c>
    </row>
    <row r="428" ht="14.25" customHeight="1">
      <c r="G428" s="3" t="s">
        <v>471</v>
      </c>
    </row>
    <row r="429" ht="14.25" customHeight="1">
      <c r="G429" s="3" t="s">
        <v>472</v>
      </c>
    </row>
    <row r="430" ht="14.25" customHeight="1">
      <c r="G430" s="3" t="s">
        <v>473</v>
      </c>
    </row>
    <row r="431" ht="14.25" customHeight="1">
      <c r="G431" s="3" t="s">
        <v>474</v>
      </c>
    </row>
    <row r="432" ht="14.25" customHeight="1">
      <c r="G432" s="3" t="s">
        <v>475</v>
      </c>
    </row>
    <row r="433" ht="14.25" customHeight="1">
      <c r="G433" s="3" t="s">
        <v>476</v>
      </c>
    </row>
    <row r="434" ht="14.25" customHeight="1">
      <c r="G434" s="3" t="s">
        <v>477</v>
      </c>
    </row>
    <row r="435" ht="14.25" customHeight="1">
      <c r="G435" s="3" t="s">
        <v>478</v>
      </c>
    </row>
    <row r="436" ht="14.25" customHeight="1">
      <c r="G436" s="3" t="s">
        <v>479</v>
      </c>
    </row>
    <row r="437" ht="14.25" customHeight="1">
      <c r="G437" s="3" t="s">
        <v>480</v>
      </c>
    </row>
    <row r="438" ht="14.25" customHeight="1">
      <c r="G438" s="3" t="s">
        <v>481</v>
      </c>
    </row>
    <row r="439" ht="14.25" customHeight="1">
      <c r="G439" s="3" t="s">
        <v>482</v>
      </c>
    </row>
    <row r="440" ht="14.25" customHeight="1">
      <c r="G440" s="3" t="s">
        <v>483</v>
      </c>
    </row>
    <row r="441" ht="14.25" customHeight="1">
      <c r="G441" s="3" t="s">
        <v>484</v>
      </c>
    </row>
    <row r="442" ht="14.25" customHeight="1">
      <c r="G442" s="3" t="s">
        <v>485</v>
      </c>
    </row>
    <row r="443" ht="14.25" customHeight="1">
      <c r="G443" s="3" t="s">
        <v>486</v>
      </c>
    </row>
    <row r="444" ht="14.25" customHeight="1">
      <c r="G444" s="3" t="s">
        <v>487</v>
      </c>
    </row>
    <row r="445" ht="14.25" customHeight="1">
      <c r="G445" s="3" t="s">
        <v>488</v>
      </c>
    </row>
    <row r="446" ht="14.25" customHeight="1">
      <c r="G446" s="3" t="s">
        <v>489</v>
      </c>
    </row>
    <row r="447" ht="14.25" customHeight="1">
      <c r="G447" s="3" t="s">
        <v>490</v>
      </c>
    </row>
    <row r="448" ht="14.25" customHeight="1">
      <c r="G448" s="3" t="s">
        <v>491</v>
      </c>
    </row>
    <row r="449" ht="14.25" customHeight="1">
      <c r="G449" s="3" t="s">
        <v>492</v>
      </c>
    </row>
    <row r="450" ht="14.25" customHeight="1">
      <c r="G450" s="3" t="s">
        <v>493</v>
      </c>
    </row>
    <row r="451" ht="14.25" customHeight="1">
      <c r="G451" s="3" t="s">
        <v>494</v>
      </c>
    </row>
    <row r="452" ht="14.25" customHeight="1">
      <c r="G452" s="3" t="s">
        <v>495</v>
      </c>
    </row>
    <row r="453" ht="14.25" customHeight="1">
      <c r="G453" s="3" t="s">
        <v>496</v>
      </c>
    </row>
    <row r="454" ht="14.25" customHeight="1">
      <c r="G454" s="3" t="s">
        <v>497</v>
      </c>
    </row>
    <row r="455" ht="14.25" customHeight="1">
      <c r="G455" s="3" t="s">
        <v>498</v>
      </c>
    </row>
    <row r="456" ht="14.25" customHeight="1">
      <c r="G456" s="3" t="s">
        <v>499</v>
      </c>
    </row>
    <row r="457" ht="14.25" customHeight="1">
      <c r="G457" s="3" t="s">
        <v>500</v>
      </c>
    </row>
    <row r="458" ht="14.25" customHeight="1">
      <c r="G458" s="3" t="s">
        <v>501</v>
      </c>
    </row>
    <row r="459" ht="14.25" customHeight="1">
      <c r="G459" s="3" t="s">
        <v>502</v>
      </c>
    </row>
    <row r="460" ht="14.25" customHeight="1">
      <c r="G460" s="3" t="s">
        <v>503</v>
      </c>
    </row>
    <row r="461" ht="14.25" customHeight="1">
      <c r="G461" s="3" t="s">
        <v>504</v>
      </c>
    </row>
    <row r="462" ht="14.25" customHeight="1">
      <c r="G462" s="3" t="s">
        <v>505</v>
      </c>
    </row>
    <row r="463" ht="14.25" customHeight="1">
      <c r="G463" s="3" t="s">
        <v>506</v>
      </c>
    </row>
    <row r="464" ht="14.25" customHeight="1">
      <c r="G464" s="3" t="s">
        <v>507</v>
      </c>
    </row>
    <row r="465" ht="14.25" customHeight="1">
      <c r="G465" s="3" t="s">
        <v>508</v>
      </c>
    </row>
    <row r="466" ht="14.25" customHeight="1">
      <c r="G466" s="3" t="s">
        <v>509</v>
      </c>
    </row>
    <row r="467" ht="14.25" customHeight="1">
      <c r="G467" s="3" t="s">
        <v>510</v>
      </c>
    </row>
    <row r="468" ht="14.25" customHeight="1">
      <c r="G468" s="3" t="s">
        <v>511</v>
      </c>
    </row>
    <row r="469" ht="14.25" customHeight="1">
      <c r="G469" s="3" t="s">
        <v>512</v>
      </c>
    </row>
    <row r="470" ht="14.25" customHeight="1">
      <c r="G470" s="3" t="s">
        <v>513</v>
      </c>
    </row>
    <row r="471" ht="14.25" customHeight="1">
      <c r="G471" s="3" t="s">
        <v>514</v>
      </c>
    </row>
    <row r="472" ht="14.25" customHeight="1">
      <c r="G472" s="3" t="s">
        <v>515</v>
      </c>
    </row>
    <row r="473" ht="14.25" customHeight="1">
      <c r="G473" s="3" t="s">
        <v>516</v>
      </c>
    </row>
    <row r="474" ht="14.25" customHeight="1">
      <c r="G474" s="3" t="s">
        <v>517</v>
      </c>
    </row>
    <row r="475" ht="14.25" customHeight="1">
      <c r="G475" s="3" t="s">
        <v>518</v>
      </c>
    </row>
    <row r="476" ht="14.25" customHeight="1">
      <c r="G476" s="3" t="s">
        <v>519</v>
      </c>
    </row>
    <row r="477" ht="14.25" customHeight="1">
      <c r="G477" s="3" t="s">
        <v>520</v>
      </c>
    </row>
    <row r="478" ht="14.25" customHeight="1">
      <c r="G478" s="3" t="s">
        <v>521</v>
      </c>
    </row>
    <row r="479" ht="14.25" customHeight="1">
      <c r="G479" s="3" t="s">
        <v>522</v>
      </c>
    </row>
    <row r="480" ht="14.25" customHeight="1">
      <c r="G480" s="3" t="s">
        <v>523</v>
      </c>
    </row>
    <row r="481" ht="14.25" customHeight="1">
      <c r="G481" s="3" t="s">
        <v>524</v>
      </c>
    </row>
    <row r="482" ht="14.25" customHeight="1">
      <c r="G482" s="3" t="s">
        <v>525</v>
      </c>
    </row>
    <row r="483" ht="14.25" customHeight="1">
      <c r="G483" s="3" t="s">
        <v>526</v>
      </c>
    </row>
    <row r="484" ht="14.25" customHeight="1">
      <c r="G484" s="3" t="s">
        <v>527</v>
      </c>
    </row>
    <row r="485" ht="14.25" customHeight="1">
      <c r="G485" s="3" t="s">
        <v>528</v>
      </c>
    </row>
    <row r="486" ht="14.25" customHeight="1">
      <c r="G486" s="3" t="s">
        <v>529</v>
      </c>
    </row>
    <row r="487" ht="14.25" customHeight="1">
      <c r="G487" s="3" t="s">
        <v>530</v>
      </c>
    </row>
    <row r="488" ht="14.25" customHeight="1">
      <c r="G488" s="3" t="s">
        <v>531</v>
      </c>
    </row>
    <row r="489" ht="14.25" customHeight="1">
      <c r="G489" s="3" t="s">
        <v>532</v>
      </c>
    </row>
    <row r="490" ht="14.25" customHeight="1">
      <c r="G490" s="3" t="s">
        <v>533</v>
      </c>
    </row>
    <row r="491" ht="14.25" customHeight="1">
      <c r="G491" s="3" t="s">
        <v>534</v>
      </c>
    </row>
    <row r="492" ht="14.25" customHeight="1">
      <c r="G492" s="3" t="s">
        <v>535</v>
      </c>
    </row>
    <row r="493" ht="14.25" customHeight="1">
      <c r="G493" s="3" t="s">
        <v>536</v>
      </c>
    </row>
    <row r="494" ht="14.25" customHeight="1">
      <c r="G494" s="3" t="s">
        <v>537</v>
      </c>
    </row>
    <row r="495" ht="14.25" customHeight="1">
      <c r="G495" s="3" t="s">
        <v>538</v>
      </c>
    </row>
    <row r="496" ht="14.25" customHeight="1">
      <c r="G496" s="3" t="s">
        <v>539</v>
      </c>
    </row>
    <row r="497" ht="14.25" customHeight="1">
      <c r="G497" s="3" t="s">
        <v>540</v>
      </c>
    </row>
    <row r="498" ht="14.25" customHeight="1">
      <c r="G498" s="3" t="s">
        <v>541</v>
      </c>
    </row>
    <row r="499" ht="14.25" customHeight="1">
      <c r="G499" s="3" t="s">
        <v>542</v>
      </c>
    </row>
    <row r="500" ht="14.25" customHeight="1">
      <c r="G500" s="3" t="s">
        <v>543</v>
      </c>
    </row>
    <row r="501" ht="14.25" customHeight="1">
      <c r="G501" s="3" t="s">
        <v>544</v>
      </c>
    </row>
    <row r="502" ht="14.25" customHeight="1">
      <c r="G502" s="3" t="s">
        <v>545</v>
      </c>
    </row>
    <row r="503" ht="14.25" customHeight="1">
      <c r="G503" s="3" t="s">
        <v>546</v>
      </c>
    </row>
    <row r="504" ht="14.25" customHeight="1">
      <c r="G504" s="3" t="s">
        <v>547</v>
      </c>
    </row>
    <row r="505" ht="14.25" customHeight="1">
      <c r="G505" s="3" t="s">
        <v>548</v>
      </c>
    </row>
    <row r="506" ht="14.25" customHeight="1">
      <c r="G506" s="3" t="s">
        <v>549</v>
      </c>
    </row>
    <row r="507" ht="14.25" customHeight="1">
      <c r="G507" s="3" t="s">
        <v>550</v>
      </c>
    </row>
    <row r="508" ht="14.25" customHeight="1">
      <c r="G508" s="3" t="s">
        <v>551</v>
      </c>
    </row>
    <row r="509" ht="14.25" customHeight="1">
      <c r="G509" s="3" t="s">
        <v>552</v>
      </c>
    </row>
    <row r="510" ht="14.25" customHeight="1">
      <c r="G510" s="3" t="s">
        <v>553</v>
      </c>
    </row>
    <row r="511" ht="14.25" customHeight="1">
      <c r="G511" s="3" t="s">
        <v>554</v>
      </c>
    </row>
    <row r="512" ht="14.25" customHeight="1">
      <c r="G512" s="3" t="s">
        <v>555</v>
      </c>
    </row>
    <row r="513" ht="14.25" customHeight="1">
      <c r="G513" s="3" t="s">
        <v>556</v>
      </c>
    </row>
    <row r="514" ht="14.25" customHeight="1">
      <c r="G514" s="3" t="s">
        <v>557</v>
      </c>
    </row>
    <row r="515" ht="14.25" customHeight="1">
      <c r="G515" s="3" t="s">
        <v>558</v>
      </c>
    </row>
    <row r="516" ht="14.25" customHeight="1">
      <c r="G516" s="3" t="s">
        <v>559</v>
      </c>
    </row>
    <row r="517" ht="14.25" customHeight="1">
      <c r="G517" s="3" t="s">
        <v>560</v>
      </c>
    </row>
    <row r="518" ht="14.25" customHeight="1">
      <c r="G518" s="3" t="s">
        <v>561</v>
      </c>
    </row>
    <row r="519" ht="14.25" customHeight="1">
      <c r="G519" s="3" t="s">
        <v>562</v>
      </c>
    </row>
    <row r="520" ht="14.25" customHeight="1">
      <c r="G520" s="3" t="s">
        <v>563</v>
      </c>
    </row>
    <row r="521" ht="14.25" customHeight="1">
      <c r="G521" s="3" t="s">
        <v>564</v>
      </c>
    </row>
    <row r="522" ht="14.25" customHeight="1">
      <c r="G522" s="3" t="s">
        <v>565</v>
      </c>
    </row>
    <row r="523" ht="14.25" customHeight="1">
      <c r="G523" s="3" t="s">
        <v>566</v>
      </c>
    </row>
    <row r="524" ht="14.25" customHeight="1">
      <c r="G524" s="3" t="s">
        <v>567</v>
      </c>
    </row>
    <row r="525" ht="14.25" customHeight="1">
      <c r="G525" s="3" t="s">
        <v>568</v>
      </c>
    </row>
    <row r="526" ht="14.25" customHeight="1">
      <c r="G526" s="3" t="s">
        <v>569</v>
      </c>
    </row>
    <row r="527" ht="14.25" customHeight="1">
      <c r="G527" s="3" t="s">
        <v>570</v>
      </c>
    </row>
    <row r="528" ht="14.25" customHeight="1">
      <c r="G528" s="3" t="s">
        <v>571</v>
      </c>
    </row>
    <row r="529" ht="14.25" customHeight="1">
      <c r="G529" s="3" t="s">
        <v>572</v>
      </c>
    </row>
    <row r="530" ht="14.25" customHeight="1">
      <c r="G530" s="3" t="s">
        <v>573</v>
      </c>
    </row>
    <row r="531" ht="14.25" customHeight="1">
      <c r="G531" s="3" t="s">
        <v>574</v>
      </c>
    </row>
    <row r="532" ht="14.25" customHeight="1">
      <c r="G532" s="3" t="s">
        <v>575</v>
      </c>
    </row>
    <row r="533" ht="14.25" customHeight="1">
      <c r="G533" s="3" t="s">
        <v>576</v>
      </c>
    </row>
    <row r="534" ht="14.25" customHeight="1">
      <c r="G534" s="3" t="s">
        <v>577</v>
      </c>
    </row>
    <row r="535" ht="14.25" customHeight="1">
      <c r="G535" s="3" t="s">
        <v>578</v>
      </c>
    </row>
    <row r="536" ht="14.25" customHeight="1">
      <c r="G536" s="3" t="s">
        <v>579</v>
      </c>
    </row>
    <row r="537" ht="14.25" customHeight="1">
      <c r="G537" s="3" t="s">
        <v>580</v>
      </c>
    </row>
    <row r="538" ht="14.25" customHeight="1">
      <c r="G538" s="3" t="s">
        <v>581</v>
      </c>
    </row>
    <row r="539" ht="14.25" customHeight="1">
      <c r="G539" s="3" t="s">
        <v>582</v>
      </c>
    </row>
    <row r="540" ht="14.25" customHeight="1">
      <c r="G540" s="3" t="s">
        <v>583</v>
      </c>
    </row>
    <row r="541" ht="14.25" customHeight="1">
      <c r="G541" s="3" t="s">
        <v>584</v>
      </c>
    </row>
    <row r="542" ht="14.25" customHeight="1">
      <c r="G542" s="3" t="s">
        <v>585</v>
      </c>
    </row>
    <row r="543" ht="14.25" customHeight="1">
      <c r="G543" s="3" t="s">
        <v>586</v>
      </c>
    </row>
    <row r="544" ht="14.25" customHeight="1">
      <c r="G544" s="3" t="s">
        <v>587</v>
      </c>
    </row>
    <row r="545" ht="14.25" customHeight="1">
      <c r="G545" s="3" t="s">
        <v>588</v>
      </c>
    </row>
    <row r="546" ht="14.25" customHeight="1">
      <c r="G546" s="3" t="s">
        <v>589</v>
      </c>
    </row>
    <row r="547" ht="14.25" customHeight="1">
      <c r="G547" s="3" t="s">
        <v>590</v>
      </c>
    </row>
    <row r="548" ht="14.25" customHeight="1">
      <c r="G548" s="3" t="s">
        <v>591</v>
      </c>
    </row>
    <row r="549" ht="14.25" customHeight="1">
      <c r="G549" s="3" t="s">
        <v>592</v>
      </c>
    </row>
    <row r="550" ht="14.25" customHeight="1">
      <c r="G550" s="3" t="s">
        <v>593</v>
      </c>
    </row>
    <row r="551" ht="14.25" customHeight="1">
      <c r="G551" s="3" t="s">
        <v>594</v>
      </c>
    </row>
    <row r="552" ht="14.25" customHeight="1">
      <c r="G552" s="3" t="s">
        <v>595</v>
      </c>
    </row>
    <row r="553" ht="14.25" customHeight="1">
      <c r="G553" s="3" t="s">
        <v>596</v>
      </c>
    </row>
    <row r="554" ht="14.25" customHeight="1">
      <c r="G554" s="3" t="s">
        <v>597</v>
      </c>
    </row>
    <row r="555" ht="14.25" customHeight="1">
      <c r="G555" s="3" t="s">
        <v>598</v>
      </c>
    </row>
    <row r="556" ht="14.25" customHeight="1">
      <c r="G556" s="3" t="s">
        <v>599</v>
      </c>
    </row>
    <row r="557" ht="14.25" customHeight="1">
      <c r="G557" s="3" t="s">
        <v>600</v>
      </c>
    </row>
    <row r="558" ht="14.25" customHeight="1">
      <c r="G558" s="3" t="s">
        <v>601</v>
      </c>
    </row>
    <row r="559" ht="14.25" customHeight="1">
      <c r="G559" s="3" t="s">
        <v>602</v>
      </c>
    </row>
    <row r="560" ht="14.25" customHeight="1">
      <c r="G560" s="3" t="s">
        <v>603</v>
      </c>
    </row>
    <row r="561" ht="14.25" customHeight="1">
      <c r="G561" s="3" t="s">
        <v>604</v>
      </c>
    </row>
    <row r="562" ht="14.25" customHeight="1">
      <c r="G562" s="3" t="s">
        <v>605</v>
      </c>
    </row>
    <row r="563" ht="14.25" customHeight="1">
      <c r="G563" s="3" t="s">
        <v>606</v>
      </c>
    </row>
    <row r="564" ht="14.25" customHeight="1">
      <c r="G564" s="3" t="s">
        <v>607</v>
      </c>
    </row>
    <row r="565" ht="14.25" customHeight="1">
      <c r="G565" s="3" t="s">
        <v>608</v>
      </c>
    </row>
    <row r="566" ht="14.25" customHeight="1">
      <c r="G566" s="3" t="s">
        <v>609</v>
      </c>
    </row>
    <row r="567" ht="14.25" customHeight="1">
      <c r="G567" s="3" t="s">
        <v>610</v>
      </c>
    </row>
    <row r="568" ht="14.25" customHeight="1">
      <c r="G568" s="3" t="s">
        <v>611</v>
      </c>
    </row>
    <row r="569" ht="14.25" customHeight="1">
      <c r="G569" s="3" t="s">
        <v>612</v>
      </c>
    </row>
    <row r="570" ht="14.25" customHeight="1">
      <c r="G570" s="3" t="s">
        <v>613</v>
      </c>
    </row>
    <row r="571" ht="14.25" customHeight="1">
      <c r="G571" s="3" t="s">
        <v>614</v>
      </c>
    </row>
    <row r="572" ht="14.25" customHeight="1">
      <c r="G572" s="3" t="s">
        <v>615</v>
      </c>
    </row>
    <row r="573" ht="14.25" customHeight="1">
      <c r="G573" s="3" t="s">
        <v>616</v>
      </c>
    </row>
    <row r="574" ht="14.25" customHeight="1">
      <c r="G574" s="3" t="s">
        <v>617</v>
      </c>
    </row>
    <row r="575" ht="14.25" customHeight="1">
      <c r="G575" s="3" t="s">
        <v>618</v>
      </c>
    </row>
    <row r="576" ht="14.25" customHeight="1">
      <c r="G576" s="3" t="s">
        <v>619</v>
      </c>
    </row>
    <row r="577" ht="14.25" customHeight="1">
      <c r="G577" s="3" t="s">
        <v>620</v>
      </c>
    </row>
    <row r="578" ht="14.25" customHeight="1">
      <c r="G578" s="3" t="s">
        <v>621</v>
      </c>
    </row>
    <row r="579" ht="14.25" customHeight="1">
      <c r="G579" s="3" t="s">
        <v>622</v>
      </c>
    </row>
    <row r="580" ht="14.25" customHeight="1">
      <c r="G580" s="3" t="s">
        <v>623</v>
      </c>
    </row>
    <row r="581" ht="14.25" customHeight="1">
      <c r="G581" s="3" t="s">
        <v>624</v>
      </c>
    </row>
    <row r="582" ht="14.25" customHeight="1">
      <c r="G582" s="3" t="s">
        <v>625</v>
      </c>
    </row>
    <row r="583" ht="14.25" customHeight="1">
      <c r="G583" s="3" t="s">
        <v>626</v>
      </c>
    </row>
    <row r="584" ht="14.25" customHeight="1">
      <c r="G584" s="3" t="s">
        <v>627</v>
      </c>
    </row>
    <row r="585" ht="14.25" customHeight="1">
      <c r="G585" s="3" t="s">
        <v>628</v>
      </c>
    </row>
    <row r="586" ht="14.25" customHeight="1">
      <c r="G586" s="3" t="s">
        <v>629</v>
      </c>
    </row>
    <row r="587" ht="14.25" customHeight="1">
      <c r="G587" s="3" t="s">
        <v>630</v>
      </c>
    </row>
    <row r="588" ht="14.25" customHeight="1">
      <c r="G588" s="3" t="s">
        <v>631</v>
      </c>
    </row>
    <row r="589" ht="14.25" customHeight="1">
      <c r="G589" s="3" t="s">
        <v>632</v>
      </c>
    </row>
    <row r="590" ht="14.25" customHeight="1">
      <c r="G590" s="3" t="s">
        <v>633</v>
      </c>
    </row>
    <row r="591" ht="14.25" customHeight="1">
      <c r="G591" s="3" t="s">
        <v>634</v>
      </c>
    </row>
    <row r="592" ht="14.25" customHeight="1">
      <c r="G592" s="3" t="s">
        <v>635</v>
      </c>
    </row>
    <row r="593" ht="14.25" customHeight="1">
      <c r="G593" s="3" t="s">
        <v>636</v>
      </c>
    </row>
    <row r="594" ht="14.25" customHeight="1">
      <c r="G594" s="3" t="s">
        <v>637</v>
      </c>
    </row>
    <row r="595" ht="14.25" customHeight="1">
      <c r="G595" s="3" t="s">
        <v>638</v>
      </c>
    </row>
    <row r="596" ht="14.25" customHeight="1">
      <c r="G596" s="3" t="s">
        <v>639</v>
      </c>
    </row>
    <row r="597" ht="14.25" customHeight="1">
      <c r="G597" s="3" t="s">
        <v>640</v>
      </c>
    </row>
    <row r="598" ht="14.25" customHeight="1">
      <c r="G598" s="3" t="s">
        <v>641</v>
      </c>
    </row>
    <row r="599" ht="14.25" customHeight="1">
      <c r="G599" s="3" t="s">
        <v>642</v>
      </c>
    </row>
    <row r="600" ht="14.25" customHeight="1">
      <c r="G600" s="3" t="s">
        <v>643</v>
      </c>
    </row>
    <row r="601" ht="14.25" customHeight="1">
      <c r="G601" s="3" t="s">
        <v>644</v>
      </c>
    </row>
    <row r="602" ht="14.25" customHeight="1">
      <c r="G602" s="3" t="s">
        <v>645</v>
      </c>
    </row>
    <row r="603" ht="14.25" customHeight="1">
      <c r="G603" s="3" t="s">
        <v>646</v>
      </c>
    </row>
    <row r="604" ht="14.25" customHeight="1">
      <c r="G604" s="3" t="s">
        <v>647</v>
      </c>
    </row>
    <row r="605" ht="14.25" customHeight="1">
      <c r="G605" s="3" t="s">
        <v>648</v>
      </c>
    </row>
    <row r="606" ht="14.25" customHeight="1">
      <c r="G606" s="3" t="s">
        <v>649</v>
      </c>
    </row>
    <row r="607" ht="14.25" customHeight="1">
      <c r="G607" s="3" t="s">
        <v>650</v>
      </c>
    </row>
    <row r="608" ht="14.25" customHeight="1">
      <c r="G608" s="3" t="s">
        <v>651</v>
      </c>
    </row>
    <row r="609" ht="14.25" customHeight="1">
      <c r="G609" s="3" t="s">
        <v>652</v>
      </c>
    </row>
    <row r="610" ht="14.25" customHeight="1">
      <c r="G610" s="3" t="s">
        <v>653</v>
      </c>
    </row>
    <row r="611" ht="14.25" customHeight="1">
      <c r="G611" s="3" t="s">
        <v>654</v>
      </c>
    </row>
    <row r="612" ht="14.25" customHeight="1">
      <c r="G612" s="3" t="s">
        <v>655</v>
      </c>
    </row>
    <row r="613" ht="14.25" customHeight="1">
      <c r="G613" s="3" t="s">
        <v>656</v>
      </c>
    </row>
    <row r="614" ht="14.25" customHeight="1">
      <c r="G614" s="3" t="s">
        <v>657</v>
      </c>
    </row>
    <row r="615" ht="14.25" customHeight="1">
      <c r="G615" s="3" t="s">
        <v>658</v>
      </c>
    </row>
    <row r="616" ht="14.25" customHeight="1">
      <c r="G616" s="3" t="s">
        <v>659</v>
      </c>
    </row>
    <row r="617" ht="14.25" customHeight="1">
      <c r="G617" s="3" t="s">
        <v>660</v>
      </c>
    </row>
    <row r="618" ht="14.25" customHeight="1">
      <c r="G618" s="3" t="s">
        <v>661</v>
      </c>
    </row>
    <row r="619" ht="14.25" customHeight="1">
      <c r="G619" s="3" t="s">
        <v>662</v>
      </c>
    </row>
    <row r="620" ht="14.25" customHeight="1">
      <c r="G620" s="3" t="s">
        <v>663</v>
      </c>
    </row>
    <row r="621" ht="14.25" customHeight="1">
      <c r="G621" s="3" t="s">
        <v>664</v>
      </c>
    </row>
    <row r="622" ht="14.25" customHeight="1">
      <c r="G622" s="3" t="s">
        <v>665</v>
      </c>
    </row>
    <row r="623" ht="14.25" customHeight="1">
      <c r="G623" s="3" t="s">
        <v>666</v>
      </c>
    </row>
    <row r="624" ht="14.25" customHeight="1">
      <c r="G624" s="3" t="s">
        <v>667</v>
      </c>
    </row>
    <row r="625" ht="14.25" customHeight="1">
      <c r="G625" s="3" t="s">
        <v>668</v>
      </c>
    </row>
    <row r="626" ht="14.25" customHeight="1">
      <c r="G626" s="3" t="s">
        <v>669</v>
      </c>
    </row>
    <row r="627" ht="14.25" customHeight="1">
      <c r="G627" s="3" t="s">
        <v>670</v>
      </c>
    </row>
    <row r="628" ht="14.25" customHeight="1">
      <c r="G628" s="3" t="s">
        <v>671</v>
      </c>
    </row>
    <row r="629" ht="14.25" customHeight="1">
      <c r="G629" s="3" t="s">
        <v>672</v>
      </c>
    </row>
    <row r="630" ht="14.25" customHeight="1">
      <c r="G630" s="3" t="s">
        <v>673</v>
      </c>
    </row>
    <row r="631" ht="14.25" customHeight="1">
      <c r="G631" s="3" t="s">
        <v>674</v>
      </c>
    </row>
    <row r="632" ht="14.25" customHeight="1">
      <c r="G632" s="3" t="s">
        <v>675</v>
      </c>
    </row>
    <row r="633" ht="14.25" customHeight="1">
      <c r="G633" s="3" t="s">
        <v>676</v>
      </c>
    </row>
    <row r="634" ht="14.25" customHeight="1">
      <c r="G634" s="3" t="s">
        <v>677</v>
      </c>
    </row>
    <row r="635" ht="14.25" customHeight="1">
      <c r="G635" s="3" t="s">
        <v>678</v>
      </c>
    </row>
    <row r="636" ht="14.25" customHeight="1">
      <c r="G636" s="3" t="s">
        <v>679</v>
      </c>
    </row>
    <row r="637" ht="14.25" customHeight="1">
      <c r="G637" s="3" t="s">
        <v>680</v>
      </c>
    </row>
    <row r="638" ht="14.25" customHeight="1">
      <c r="G638" s="3" t="s">
        <v>681</v>
      </c>
    </row>
    <row r="639" ht="14.25" customHeight="1">
      <c r="G639" s="3" t="s">
        <v>682</v>
      </c>
    </row>
    <row r="640" ht="14.25" customHeight="1">
      <c r="G640" s="3" t="s">
        <v>683</v>
      </c>
    </row>
    <row r="641" ht="14.25" customHeight="1">
      <c r="G641" s="3" t="s">
        <v>684</v>
      </c>
    </row>
    <row r="642" ht="14.25" customHeight="1">
      <c r="G642" s="3" t="s">
        <v>685</v>
      </c>
    </row>
    <row r="643" ht="14.25" customHeight="1">
      <c r="G643" s="3" t="s">
        <v>686</v>
      </c>
    </row>
    <row r="644" ht="14.25" customHeight="1">
      <c r="G644" s="3" t="s">
        <v>687</v>
      </c>
    </row>
    <row r="645" ht="14.25" customHeight="1">
      <c r="G645" s="3" t="s">
        <v>688</v>
      </c>
    </row>
    <row r="646" ht="14.25" customHeight="1">
      <c r="G646" s="3" t="s">
        <v>689</v>
      </c>
    </row>
    <row r="647" ht="14.25" customHeight="1">
      <c r="G647" s="3" t="s">
        <v>690</v>
      </c>
    </row>
    <row r="648" ht="14.25" customHeight="1">
      <c r="G648" s="3" t="s">
        <v>691</v>
      </c>
    </row>
    <row r="649" ht="14.25" customHeight="1">
      <c r="G649" s="3" t="s">
        <v>692</v>
      </c>
    </row>
    <row r="650" ht="14.25" customHeight="1">
      <c r="G650" s="3" t="s">
        <v>693</v>
      </c>
    </row>
    <row r="651" ht="14.25" customHeight="1">
      <c r="G651" s="3" t="s">
        <v>694</v>
      </c>
    </row>
    <row r="652" ht="14.25" customHeight="1">
      <c r="G652" s="3" t="s">
        <v>695</v>
      </c>
    </row>
    <row r="653" ht="14.25" customHeight="1">
      <c r="G653" s="3" t="s">
        <v>696</v>
      </c>
    </row>
    <row r="654" ht="14.25" customHeight="1">
      <c r="G654" s="3" t="s">
        <v>697</v>
      </c>
    </row>
    <row r="655" ht="14.25" customHeight="1">
      <c r="G655" s="3" t="s">
        <v>698</v>
      </c>
    </row>
    <row r="656" ht="14.25" customHeight="1">
      <c r="G656" s="3" t="s">
        <v>699</v>
      </c>
    </row>
    <row r="657" ht="14.25" customHeight="1">
      <c r="G657" s="3" t="s">
        <v>700</v>
      </c>
    </row>
    <row r="658" ht="14.25" customHeight="1">
      <c r="G658" s="3" t="s">
        <v>701</v>
      </c>
    </row>
    <row r="659" ht="14.25" customHeight="1">
      <c r="G659" s="3" t="s">
        <v>702</v>
      </c>
    </row>
    <row r="660" ht="14.25" customHeight="1">
      <c r="G660" s="3" t="s">
        <v>703</v>
      </c>
    </row>
    <row r="661" ht="14.25" customHeight="1">
      <c r="G661" s="3" t="s">
        <v>704</v>
      </c>
    </row>
    <row r="662" ht="14.25" customHeight="1">
      <c r="G662" s="3" t="s">
        <v>705</v>
      </c>
    </row>
    <row r="663" ht="14.25" customHeight="1">
      <c r="G663" s="3" t="s">
        <v>706</v>
      </c>
    </row>
    <row r="664" ht="14.25" customHeight="1">
      <c r="G664" s="3" t="s">
        <v>707</v>
      </c>
    </row>
    <row r="665" ht="14.25" customHeight="1">
      <c r="G665" s="3" t="s">
        <v>708</v>
      </c>
    </row>
    <row r="666" ht="14.25" customHeight="1">
      <c r="G666" s="3" t="s">
        <v>709</v>
      </c>
    </row>
    <row r="667" ht="14.25" customHeight="1">
      <c r="G667" s="3" t="s">
        <v>710</v>
      </c>
    </row>
    <row r="668" ht="14.25" customHeight="1">
      <c r="G668" s="3" t="s">
        <v>711</v>
      </c>
    </row>
    <row r="669" ht="14.25" customHeight="1">
      <c r="G669" s="3" t="s">
        <v>712</v>
      </c>
    </row>
    <row r="670" ht="14.25" customHeight="1">
      <c r="G670" s="3" t="s">
        <v>713</v>
      </c>
    </row>
    <row r="671" ht="14.25" customHeight="1">
      <c r="G671" s="3" t="s">
        <v>714</v>
      </c>
    </row>
    <row r="672" ht="14.25" customHeight="1">
      <c r="G672" s="3" t="s">
        <v>715</v>
      </c>
    </row>
    <row r="673" ht="14.25" customHeight="1">
      <c r="G673" s="3" t="s">
        <v>716</v>
      </c>
    </row>
    <row r="674" ht="14.25" customHeight="1">
      <c r="G674" s="3" t="s">
        <v>717</v>
      </c>
    </row>
    <row r="675" ht="14.25" customHeight="1">
      <c r="G675" s="3" t="s">
        <v>718</v>
      </c>
    </row>
    <row r="676" ht="14.25" customHeight="1">
      <c r="G676" s="3" t="s">
        <v>719</v>
      </c>
    </row>
    <row r="677" ht="14.25" customHeight="1">
      <c r="G677" s="3" t="s">
        <v>720</v>
      </c>
    </row>
    <row r="678" ht="14.25" customHeight="1">
      <c r="G678" s="3" t="s">
        <v>721</v>
      </c>
    </row>
    <row r="679" ht="14.25" customHeight="1">
      <c r="G679" s="3" t="s">
        <v>722</v>
      </c>
    </row>
    <row r="680" ht="14.25" customHeight="1">
      <c r="G680" s="3" t="s">
        <v>723</v>
      </c>
    </row>
    <row r="681" ht="14.25" customHeight="1">
      <c r="G681" s="3" t="s">
        <v>724</v>
      </c>
    </row>
    <row r="682" ht="14.25" customHeight="1">
      <c r="G682" s="3" t="s">
        <v>725</v>
      </c>
    </row>
    <row r="683" ht="14.25" customHeight="1">
      <c r="G683" s="3" t="s">
        <v>726</v>
      </c>
    </row>
    <row r="684" ht="14.25" customHeight="1">
      <c r="G684" s="3" t="s">
        <v>727</v>
      </c>
    </row>
    <row r="685" ht="14.25" customHeight="1">
      <c r="G685" s="3" t="s">
        <v>728</v>
      </c>
    </row>
    <row r="686" ht="14.25" customHeight="1">
      <c r="G686" s="3" t="s">
        <v>729</v>
      </c>
    </row>
    <row r="687" ht="14.25" customHeight="1">
      <c r="G687" s="3" t="s">
        <v>730</v>
      </c>
    </row>
    <row r="688" ht="14.25" customHeight="1">
      <c r="G688" s="3" t="s">
        <v>731</v>
      </c>
    </row>
    <row r="689" ht="14.25" customHeight="1">
      <c r="G689" s="3" t="s">
        <v>732</v>
      </c>
    </row>
    <row r="690" ht="14.25" customHeight="1">
      <c r="G690" s="3" t="s">
        <v>733</v>
      </c>
    </row>
    <row r="691" ht="14.25" customHeight="1">
      <c r="G691" s="3" t="s">
        <v>734</v>
      </c>
    </row>
    <row r="692" ht="14.25" customHeight="1">
      <c r="G692" s="3" t="s">
        <v>735</v>
      </c>
    </row>
    <row r="693" ht="14.25" customHeight="1">
      <c r="G693" s="3" t="s">
        <v>736</v>
      </c>
    </row>
    <row r="694" ht="14.25" customHeight="1">
      <c r="G694" s="3" t="s">
        <v>737</v>
      </c>
    </row>
    <row r="695" ht="14.25" customHeight="1">
      <c r="G695" s="3" t="s">
        <v>738</v>
      </c>
    </row>
    <row r="696" ht="14.25" customHeight="1">
      <c r="G696" s="3" t="s">
        <v>739</v>
      </c>
    </row>
    <row r="697" ht="14.25" customHeight="1">
      <c r="G697" s="3" t="s">
        <v>740</v>
      </c>
    </row>
    <row r="698" ht="14.25" customHeight="1">
      <c r="G698" s="3" t="s">
        <v>741</v>
      </c>
    </row>
    <row r="699" ht="14.25" customHeight="1">
      <c r="G699" s="3" t="s">
        <v>742</v>
      </c>
    </row>
    <row r="700" ht="14.25" customHeight="1">
      <c r="G700" s="3" t="s">
        <v>743</v>
      </c>
    </row>
    <row r="701" ht="14.25" customHeight="1">
      <c r="G701" s="3" t="s">
        <v>744</v>
      </c>
    </row>
    <row r="702" ht="14.25" customHeight="1">
      <c r="G702" s="3" t="s">
        <v>745</v>
      </c>
    </row>
    <row r="703" ht="14.25" customHeight="1">
      <c r="G703" s="3" t="s">
        <v>746</v>
      </c>
    </row>
    <row r="704" ht="14.25" customHeight="1">
      <c r="G704" s="3" t="s">
        <v>747</v>
      </c>
    </row>
    <row r="705" ht="14.25" customHeight="1">
      <c r="G705" s="3" t="s">
        <v>748</v>
      </c>
    </row>
    <row r="706" ht="14.25" customHeight="1">
      <c r="G706" s="3" t="s">
        <v>749</v>
      </c>
    </row>
    <row r="707" ht="14.25" customHeight="1">
      <c r="G707" s="3" t="s">
        <v>750</v>
      </c>
    </row>
    <row r="708" ht="14.25" customHeight="1">
      <c r="G708" s="3" t="s">
        <v>751</v>
      </c>
    </row>
    <row r="709" ht="14.25" customHeight="1">
      <c r="G709" s="3" t="s">
        <v>752</v>
      </c>
    </row>
    <row r="710" ht="14.25" customHeight="1">
      <c r="G710" s="3" t="s">
        <v>753</v>
      </c>
    </row>
    <row r="711" ht="14.25" customHeight="1">
      <c r="G711" s="3" t="s">
        <v>754</v>
      </c>
    </row>
    <row r="712" ht="14.25" customHeight="1">
      <c r="G712" s="3" t="s">
        <v>755</v>
      </c>
    </row>
    <row r="713" ht="14.25" customHeight="1">
      <c r="G713" s="3" t="s">
        <v>756</v>
      </c>
    </row>
    <row r="714" ht="14.25" customHeight="1">
      <c r="G714" s="3" t="s">
        <v>757</v>
      </c>
    </row>
    <row r="715" ht="14.25" customHeight="1">
      <c r="G715" s="3" t="s">
        <v>758</v>
      </c>
    </row>
    <row r="716" ht="14.25" customHeight="1">
      <c r="G716" s="3" t="s">
        <v>759</v>
      </c>
    </row>
    <row r="717" ht="14.25" customHeight="1">
      <c r="G717" s="3" t="s">
        <v>760</v>
      </c>
    </row>
    <row r="718" ht="14.25" customHeight="1">
      <c r="G718" s="3" t="s">
        <v>761</v>
      </c>
    </row>
    <row r="719" ht="14.25" customHeight="1">
      <c r="G719" s="3" t="s">
        <v>762</v>
      </c>
    </row>
    <row r="720" ht="14.25" customHeight="1">
      <c r="G720" s="3" t="s">
        <v>763</v>
      </c>
    </row>
    <row r="721" ht="14.25" customHeight="1">
      <c r="G721" s="3" t="s">
        <v>764</v>
      </c>
    </row>
    <row r="722" ht="14.25" customHeight="1">
      <c r="G722" s="3" t="s">
        <v>765</v>
      </c>
    </row>
    <row r="723" ht="14.25" customHeight="1">
      <c r="G723" s="3" t="s">
        <v>766</v>
      </c>
    </row>
    <row r="724" ht="14.25" customHeight="1">
      <c r="G724" s="3" t="s">
        <v>767</v>
      </c>
    </row>
    <row r="725" ht="14.25" customHeight="1">
      <c r="G725" s="3" t="s">
        <v>768</v>
      </c>
    </row>
    <row r="726" ht="14.25" customHeight="1">
      <c r="G726" s="3" t="s">
        <v>769</v>
      </c>
    </row>
    <row r="727" ht="14.25" customHeight="1">
      <c r="G727" s="3" t="s">
        <v>770</v>
      </c>
    </row>
    <row r="728" ht="14.25" customHeight="1">
      <c r="G728" s="3" t="s">
        <v>771</v>
      </c>
    </row>
    <row r="729" ht="14.25" customHeight="1">
      <c r="G729" s="3" t="s">
        <v>772</v>
      </c>
    </row>
    <row r="730" ht="14.25" customHeight="1">
      <c r="G730" s="3" t="s">
        <v>773</v>
      </c>
    </row>
    <row r="731" ht="14.25" customHeight="1">
      <c r="G731" s="3" t="s">
        <v>774</v>
      </c>
    </row>
    <row r="732" ht="14.25" customHeight="1">
      <c r="G732" s="3" t="s">
        <v>775</v>
      </c>
    </row>
    <row r="733" ht="14.25" customHeight="1">
      <c r="G733" s="3" t="s">
        <v>776</v>
      </c>
    </row>
    <row r="734" ht="14.25" customHeight="1">
      <c r="G734" s="3" t="s">
        <v>777</v>
      </c>
    </row>
    <row r="735" ht="14.25" customHeight="1">
      <c r="G735" s="3" t="s">
        <v>778</v>
      </c>
    </row>
    <row r="736" ht="14.25" customHeight="1">
      <c r="G736" s="3" t="s">
        <v>779</v>
      </c>
    </row>
    <row r="737" ht="14.25" customHeight="1">
      <c r="G737" s="3" t="s">
        <v>780</v>
      </c>
    </row>
    <row r="738" ht="14.25" customHeight="1">
      <c r="G738" s="3" t="s">
        <v>781</v>
      </c>
    </row>
    <row r="739" ht="14.25" customHeight="1">
      <c r="G739" s="3" t="s">
        <v>782</v>
      </c>
    </row>
    <row r="740" ht="14.25" customHeight="1">
      <c r="G740" s="3" t="s">
        <v>783</v>
      </c>
    </row>
    <row r="741" ht="14.25" customHeight="1">
      <c r="G741" s="3" t="s">
        <v>784</v>
      </c>
    </row>
    <row r="742" ht="14.25" customHeight="1">
      <c r="G742" s="3" t="s">
        <v>785</v>
      </c>
    </row>
    <row r="743" ht="14.25" customHeight="1">
      <c r="G743" s="3" t="s">
        <v>786</v>
      </c>
    </row>
    <row r="744" ht="14.25" customHeight="1">
      <c r="G744" s="3" t="s">
        <v>787</v>
      </c>
    </row>
    <row r="745" ht="14.25" customHeight="1">
      <c r="G745" s="3" t="s">
        <v>788</v>
      </c>
    </row>
    <row r="746" ht="14.25" customHeight="1">
      <c r="G746" s="3" t="s">
        <v>789</v>
      </c>
    </row>
    <row r="747" ht="14.25" customHeight="1">
      <c r="G747" s="3" t="s">
        <v>790</v>
      </c>
    </row>
    <row r="748" ht="14.25" customHeight="1">
      <c r="G748" s="3" t="s">
        <v>791</v>
      </c>
    </row>
    <row r="749" ht="14.25" customHeight="1">
      <c r="G749" s="3" t="s">
        <v>792</v>
      </c>
    </row>
    <row r="750" ht="14.25" customHeight="1">
      <c r="G750" s="3" t="s">
        <v>793</v>
      </c>
    </row>
    <row r="751" ht="14.25" customHeight="1">
      <c r="G751" s="3" t="s">
        <v>794</v>
      </c>
    </row>
    <row r="752" ht="14.25" customHeight="1">
      <c r="G752" s="3" t="s">
        <v>795</v>
      </c>
    </row>
    <row r="753" ht="14.25" customHeight="1">
      <c r="G753" s="3" t="s">
        <v>796</v>
      </c>
    </row>
    <row r="754" ht="14.25" customHeight="1">
      <c r="G754" s="3" t="s">
        <v>797</v>
      </c>
    </row>
    <row r="755" ht="14.25" customHeight="1">
      <c r="G755" s="3" t="s">
        <v>798</v>
      </c>
    </row>
    <row r="756" ht="14.25" customHeight="1">
      <c r="G756" s="3" t="s">
        <v>799</v>
      </c>
    </row>
    <row r="757" ht="14.25" customHeight="1">
      <c r="G757" s="3" t="s">
        <v>800</v>
      </c>
    </row>
    <row r="758" ht="14.25" customHeight="1">
      <c r="G758" s="3" t="s">
        <v>801</v>
      </c>
    </row>
    <row r="759" ht="14.25" customHeight="1">
      <c r="G759" s="3" t="s">
        <v>802</v>
      </c>
    </row>
    <row r="760" ht="14.25" customHeight="1">
      <c r="G760" s="3" t="s">
        <v>803</v>
      </c>
    </row>
    <row r="761" ht="14.25" customHeight="1">
      <c r="G761" s="3" t="s">
        <v>804</v>
      </c>
    </row>
    <row r="762" ht="14.25" customHeight="1">
      <c r="G762" s="3" t="s">
        <v>805</v>
      </c>
    </row>
    <row r="763" ht="14.25" customHeight="1">
      <c r="G763" s="3" t="s">
        <v>806</v>
      </c>
    </row>
    <row r="764" ht="14.25" customHeight="1">
      <c r="G764" s="3" t="s">
        <v>807</v>
      </c>
    </row>
    <row r="765" ht="14.25" customHeight="1">
      <c r="G765" s="3" t="s">
        <v>808</v>
      </c>
    </row>
    <row r="766" ht="14.25" customHeight="1">
      <c r="G766" s="3" t="s">
        <v>809</v>
      </c>
    </row>
    <row r="767" ht="14.25" customHeight="1">
      <c r="G767" s="3" t="s">
        <v>810</v>
      </c>
    </row>
    <row r="768" ht="14.25" customHeight="1">
      <c r="G768" s="3" t="s">
        <v>811</v>
      </c>
    </row>
    <row r="769" ht="14.25" customHeight="1">
      <c r="G769" s="3" t="s">
        <v>812</v>
      </c>
    </row>
    <row r="770" ht="14.25" customHeight="1">
      <c r="G770" s="3" t="s">
        <v>813</v>
      </c>
    </row>
    <row r="771" ht="14.25" customHeight="1">
      <c r="G771" s="3" t="s">
        <v>814</v>
      </c>
    </row>
    <row r="772" ht="14.25" customHeight="1">
      <c r="G772" s="3" t="s">
        <v>815</v>
      </c>
    </row>
    <row r="773" ht="14.25" customHeight="1">
      <c r="G773" s="3" t="s">
        <v>816</v>
      </c>
    </row>
    <row r="774" ht="14.25" customHeight="1">
      <c r="G774" s="3" t="s">
        <v>817</v>
      </c>
    </row>
    <row r="775" ht="14.25" customHeight="1">
      <c r="G775" s="3" t="s">
        <v>818</v>
      </c>
    </row>
    <row r="776" ht="14.25" customHeight="1">
      <c r="G776" s="3" t="s">
        <v>819</v>
      </c>
    </row>
    <row r="777" ht="14.25" customHeight="1">
      <c r="G777" s="3" t="s">
        <v>820</v>
      </c>
    </row>
    <row r="778" ht="14.25" customHeight="1">
      <c r="G778" s="3" t="s">
        <v>821</v>
      </c>
    </row>
    <row r="779" ht="14.25" customHeight="1">
      <c r="G779" s="3" t="s">
        <v>822</v>
      </c>
    </row>
    <row r="780" ht="14.25" customHeight="1">
      <c r="G780" s="3" t="s">
        <v>823</v>
      </c>
    </row>
    <row r="781" ht="14.25" customHeight="1">
      <c r="G781" s="3" t="s">
        <v>824</v>
      </c>
    </row>
    <row r="782" ht="14.25" customHeight="1">
      <c r="G782" s="3" t="s">
        <v>825</v>
      </c>
    </row>
    <row r="783" ht="14.25" customHeight="1">
      <c r="G783" s="3" t="s">
        <v>826</v>
      </c>
    </row>
    <row r="784" ht="14.25" customHeight="1">
      <c r="G784" s="3" t="s">
        <v>827</v>
      </c>
    </row>
    <row r="785" ht="14.25" customHeight="1">
      <c r="G785" s="3" t="s">
        <v>828</v>
      </c>
    </row>
    <row r="786" ht="14.25" customHeight="1">
      <c r="G786" s="3" t="s">
        <v>829</v>
      </c>
    </row>
    <row r="787" ht="14.25" customHeight="1">
      <c r="G787" s="3" t="s">
        <v>830</v>
      </c>
    </row>
    <row r="788" ht="14.25" customHeight="1">
      <c r="G788" s="3" t="s">
        <v>831</v>
      </c>
    </row>
    <row r="789" ht="14.25" customHeight="1">
      <c r="G789" s="3" t="s">
        <v>832</v>
      </c>
    </row>
    <row r="790" ht="14.25" customHeight="1">
      <c r="G790" s="3" t="s">
        <v>833</v>
      </c>
    </row>
    <row r="791" ht="14.25" customHeight="1">
      <c r="G791" s="3" t="s">
        <v>834</v>
      </c>
    </row>
    <row r="792" ht="14.25" customHeight="1">
      <c r="G792" s="3" t="s">
        <v>835</v>
      </c>
    </row>
    <row r="793" ht="14.25" customHeight="1">
      <c r="G793" s="3" t="s">
        <v>836</v>
      </c>
    </row>
    <row r="794" ht="14.25" customHeight="1">
      <c r="G794" s="3" t="s">
        <v>837</v>
      </c>
    </row>
    <row r="795" ht="14.25" customHeight="1">
      <c r="G795" s="3" t="s">
        <v>838</v>
      </c>
    </row>
    <row r="796" ht="14.25" customHeight="1">
      <c r="G796" s="3" t="s">
        <v>839</v>
      </c>
    </row>
    <row r="797" ht="14.25" customHeight="1">
      <c r="G797" s="3" t="s">
        <v>840</v>
      </c>
    </row>
    <row r="798" ht="14.25" customHeight="1">
      <c r="G798" s="3" t="s">
        <v>841</v>
      </c>
    </row>
    <row r="799" ht="14.25" customHeight="1">
      <c r="G799" s="3" t="s">
        <v>842</v>
      </c>
    </row>
    <row r="800" ht="14.25" customHeight="1">
      <c r="G800" s="3" t="s">
        <v>843</v>
      </c>
    </row>
    <row r="801" ht="14.25" customHeight="1">
      <c r="G801" s="3" t="s">
        <v>844</v>
      </c>
    </row>
    <row r="802" ht="14.25" customHeight="1">
      <c r="G802" s="3" t="s">
        <v>845</v>
      </c>
    </row>
    <row r="803" ht="14.25" customHeight="1">
      <c r="G803" s="3" t="s">
        <v>846</v>
      </c>
    </row>
    <row r="804" ht="14.25" customHeight="1">
      <c r="G804" s="3" t="s">
        <v>847</v>
      </c>
    </row>
    <row r="805" ht="14.25" customHeight="1">
      <c r="G805" s="3" t="s">
        <v>848</v>
      </c>
    </row>
    <row r="806" ht="14.25" customHeight="1">
      <c r="G806" s="3" t="s">
        <v>849</v>
      </c>
    </row>
    <row r="807" ht="14.25" customHeight="1">
      <c r="G807" s="3" t="s">
        <v>850</v>
      </c>
    </row>
    <row r="808" ht="14.25" customHeight="1">
      <c r="G808" s="3" t="s">
        <v>851</v>
      </c>
    </row>
    <row r="809" ht="14.25" customHeight="1">
      <c r="G809" s="3" t="s">
        <v>852</v>
      </c>
    </row>
    <row r="810" ht="14.25" customHeight="1">
      <c r="G810" s="3" t="s">
        <v>853</v>
      </c>
    </row>
    <row r="811" ht="14.25" customHeight="1">
      <c r="G811" s="3" t="s">
        <v>854</v>
      </c>
    </row>
    <row r="812" ht="14.25" customHeight="1">
      <c r="G812" s="3" t="s">
        <v>855</v>
      </c>
    </row>
    <row r="813" ht="14.25" customHeight="1">
      <c r="G813" s="3" t="s">
        <v>856</v>
      </c>
    </row>
    <row r="814" ht="14.25" customHeight="1">
      <c r="G814" s="3" t="s">
        <v>857</v>
      </c>
    </row>
    <row r="815" ht="14.25" customHeight="1">
      <c r="G815" s="3" t="s">
        <v>858</v>
      </c>
    </row>
    <row r="816" ht="14.25" customHeight="1">
      <c r="G816" s="3" t="s">
        <v>859</v>
      </c>
    </row>
    <row r="817" ht="14.25" customHeight="1">
      <c r="G817" s="3" t="s">
        <v>860</v>
      </c>
    </row>
    <row r="818" ht="14.25" customHeight="1">
      <c r="G818" s="3" t="s">
        <v>861</v>
      </c>
    </row>
    <row r="819" ht="14.25" customHeight="1">
      <c r="G819" s="3" t="s">
        <v>862</v>
      </c>
    </row>
    <row r="820" ht="14.25" customHeight="1">
      <c r="G820" s="3" t="s">
        <v>863</v>
      </c>
    </row>
    <row r="821" ht="14.25" customHeight="1">
      <c r="G821" s="3" t="s">
        <v>864</v>
      </c>
    </row>
    <row r="822" ht="14.25" customHeight="1">
      <c r="G822" s="3" t="s">
        <v>865</v>
      </c>
    </row>
    <row r="823" ht="14.25" customHeight="1">
      <c r="G823" s="3" t="s">
        <v>866</v>
      </c>
    </row>
    <row r="824" ht="14.25" customHeight="1">
      <c r="G824" s="3" t="s">
        <v>867</v>
      </c>
    </row>
    <row r="825" ht="14.25" customHeight="1">
      <c r="G825" s="3" t="s">
        <v>868</v>
      </c>
    </row>
    <row r="826" ht="14.25" customHeight="1">
      <c r="G826" s="3" t="s">
        <v>869</v>
      </c>
    </row>
    <row r="827" ht="14.25" customHeight="1">
      <c r="G827" s="3" t="s">
        <v>870</v>
      </c>
    </row>
    <row r="828" ht="14.25" customHeight="1">
      <c r="G828" s="3" t="s">
        <v>871</v>
      </c>
    </row>
    <row r="829" ht="14.25" customHeight="1">
      <c r="G829" s="3" t="s">
        <v>872</v>
      </c>
    </row>
    <row r="830" ht="14.25" customHeight="1">
      <c r="G830" s="3" t="s">
        <v>873</v>
      </c>
    </row>
    <row r="831" ht="14.25" customHeight="1">
      <c r="G831" s="3" t="s">
        <v>874</v>
      </c>
    </row>
    <row r="832" ht="14.25" customHeight="1">
      <c r="G832" s="3" t="s">
        <v>875</v>
      </c>
    </row>
    <row r="833" ht="14.25" customHeight="1">
      <c r="G833" s="3" t="s">
        <v>876</v>
      </c>
    </row>
    <row r="834" ht="14.25" customHeight="1">
      <c r="G834" s="3" t="s">
        <v>877</v>
      </c>
    </row>
    <row r="835" ht="14.25" customHeight="1">
      <c r="G835" s="3" t="s">
        <v>878</v>
      </c>
    </row>
    <row r="836" ht="14.25" customHeight="1">
      <c r="G836" s="3" t="s">
        <v>879</v>
      </c>
    </row>
    <row r="837" ht="14.25" customHeight="1">
      <c r="G837" s="3" t="s">
        <v>880</v>
      </c>
    </row>
    <row r="838" ht="14.25" customHeight="1">
      <c r="G838" s="3" t="s">
        <v>881</v>
      </c>
    </row>
    <row r="839" ht="14.25" customHeight="1">
      <c r="G839" s="3" t="s">
        <v>882</v>
      </c>
    </row>
    <row r="840" ht="14.25" customHeight="1">
      <c r="G840" s="3" t="s">
        <v>883</v>
      </c>
    </row>
    <row r="841" ht="14.25" customHeight="1">
      <c r="G841" s="3" t="s">
        <v>884</v>
      </c>
    </row>
    <row r="842" ht="14.25" customHeight="1">
      <c r="G842" s="3" t="s">
        <v>885</v>
      </c>
    </row>
    <row r="843" ht="14.25" customHeight="1">
      <c r="G843" s="3" t="s">
        <v>886</v>
      </c>
    </row>
    <row r="844" ht="14.25" customHeight="1">
      <c r="G844" s="3" t="s">
        <v>887</v>
      </c>
    </row>
    <row r="845" ht="14.25" customHeight="1">
      <c r="G845" s="3" t="s">
        <v>888</v>
      </c>
    </row>
    <row r="846" ht="14.25" customHeight="1">
      <c r="G846" s="3" t="s">
        <v>889</v>
      </c>
    </row>
    <row r="847" ht="14.25" customHeight="1">
      <c r="G847" s="3" t="s">
        <v>890</v>
      </c>
    </row>
    <row r="848" ht="14.25" customHeight="1">
      <c r="G848" s="3" t="s">
        <v>891</v>
      </c>
    </row>
    <row r="849" ht="14.25" customHeight="1">
      <c r="G849" s="3" t="s">
        <v>892</v>
      </c>
    </row>
    <row r="850" ht="14.25" customHeight="1">
      <c r="G850" s="3" t="s">
        <v>893</v>
      </c>
    </row>
    <row r="851" ht="14.25" customHeight="1">
      <c r="G851" s="3" t="s">
        <v>894</v>
      </c>
    </row>
    <row r="852" ht="14.25" customHeight="1">
      <c r="G852" s="3" t="s">
        <v>895</v>
      </c>
    </row>
    <row r="853" ht="14.25" customHeight="1">
      <c r="G853" s="3" t="s">
        <v>896</v>
      </c>
    </row>
    <row r="854" ht="14.25" customHeight="1">
      <c r="G854" s="3" t="s">
        <v>897</v>
      </c>
    </row>
    <row r="855" ht="14.25" customHeight="1">
      <c r="G855" s="3" t="s">
        <v>898</v>
      </c>
    </row>
    <row r="856" ht="14.25" customHeight="1">
      <c r="G856" s="3" t="s">
        <v>899</v>
      </c>
    </row>
    <row r="857" ht="14.25" customHeight="1">
      <c r="G857" s="3" t="s">
        <v>900</v>
      </c>
    </row>
    <row r="858" ht="14.25" customHeight="1">
      <c r="G858" s="3" t="s">
        <v>901</v>
      </c>
    </row>
    <row r="859" ht="14.25" customHeight="1">
      <c r="G859" s="3" t="s">
        <v>902</v>
      </c>
    </row>
    <row r="860" ht="14.25" customHeight="1">
      <c r="G860" s="3" t="s">
        <v>903</v>
      </c>
    </row>
    <row r="861" ht="14.25" customHeight="1">
      <c r="G861" s="3" t="s">
        <v>904</v>
      </c>
    </row>
    <row r="862" ht="14.25" customHeight="1">
      <c r="G862" s="3" t="s">
        <v>905</v>
      </c>
    </row>
    <row r="863" ht="14.25" customHeight="1">
      <c r="G863" s="3" t="s">
        <v>906</v>
      </c>
    </row>
    <row r="864" ht="14.25" customHeight="1">
      <c r="G864" s="3" t="s">
        <v>907</v>
      </c>
    </row>
    <row r="865" ht="14.25" customHeight="1">
      <c r="G865" s="3" t="s">
        <v>908</v>
      </c>
    </row>
    <row r="866" ht="14.25" customHeight="1">
      <c r="G866" s="3" t="s">
        <v>909</v>
      </c>
    </row>
    <row r="867" ht="14.25" customHeight="1">
      <c r="G867" s="3" t="s">
        <v>910</v>
      </c>
    </row>
    <row r="868" ht="14.25" customHeight="1">
      <c r="G868" s="3" t="s">
        <v>911</v>
      </c>
    </row>
    <row r="869" ht="14.25" customHeight="1">
      <c r="G869" s="3" t="s">
        <v>912</v>
      </c>
    </row>
    <row r="870" ht="14.25" customHeight="1">
      <c r="G870" s="3" t="s">
        <v>913</v>
      </c>
    </row>
    <row r="871" ht="14.25" customHeight="1">
      <c r="G871" s="3" t="s">
        <v>914</v>
      </c>
    </row>
    <row r="872" ht="14.25" customHeight="1">
      <c r="G872" s="3" t="s">
        <v>915</v>
      </c>
    </row>
    <row r="873" ht="14.25" customHeight="1">
      <c r="G873" s="3" t="s">
        <v>916</v>
      </c>
    </row>
    <row r="874" ht="14.25" customHeight="1">
      <c r="G874" s="3" t="s">
        <v>917</v>
      </c>
    </row>
    <row r="875" ht="14.25" customHeight="1">
      <c r="G875" s="3" t="s">
        <v>918</v>
      </c>
    </row>
    <row r="876" ht="14.25" customHeight="1">
      <c r="G876" s="3" t="s">
        <v>919</v>
      </c>
    </row>
    <row r="877" ht="14.25" customHeight="1">
      <c r="G877" s="3" t="s">
        <v>920</v>
      </c>
    </row>
    <row r="878" ht="14.25" customHeight="1">
      <c r="G878" s="3" t="s">
        <v>921</v>
      </c>
    </row>
    <row r="879" ht="14.25" customHeight="1">
      <c r="G879" s="3" t="s">
        <v>922</v>
      </c>
    </row>
    <row r="880" ht="14.25" customHeight="1">
      <c r="G880" s="3" t="s">
        <v>923</v>
      </c>
    </row>
    <row r="881" ht="14.25" customHeight="1">
      <c r="G881" s="3" t="s">
        <v>924</v>
      </c>
    </row>
    <row r="882" ht="14.25" customHeight="1">
      <c r="G882" s="3" t="s">
        <v>925</v>
      </c>
    </row>
    <row r="883" ht="14.25" customHeight="1">
      <c r="G883" s="3" t="s">
        <v>926</v>
      </c>
    </row>
    <row r="884" ht="14.25" customHeight="1">
      <c r="G884" s="3" t="s">
        <v>927</v>
      </c>
    </row>
    <row r="885" ht="14.25" customHeight="1">
      <c r="G885" s="3" t="s">
        <v>928</v>
      </c>
    </row>
    <row r="886" ht="14.25" customHeight="1">
      <c r="G886" s="3" t="s">
        <v>929</v>
      </c>
    </row>
    <row r="887" ht="14.25" customHeight="1">
      <c r="G887" s="3" t="s">
        <v>930</v>
      </c>
    </row>
    <row r="888" ht="14.25" customHeight="1">
      <c r="G888" s="3" t="s">
        <v>931</v>
      </c>
    </row>
    <row r="889" ht="14.25" customHeight="1">
      <c r="G889" s="3" t="s">
        <v>932</v>
      </c>
    </row>
    <row r="890" ht="14.25" customHeight="1">
      <c r="G890" s="3" t="s">
        <v>933</v>
      </c>
    </row>
    <row r="891" ht="14.25" customHeight="1">
      <c r="G891" s="3" t="s">
        <v>934</v>
      </c>
    </row>
    <row r="892" ht="14.25" customHeight="1">
      <c r="G892" s="3" t="s">
        <v>935</v>
      </c>
    </row>
    <row r="893" ht="14.25" customHeight="1">
      <c r="G893" s="3" t="s">
        <v>936</v>
      </c>
    </row>
    <row r="894" ht="14.25" customHeight="1">
      <c r="G894" s="3" t="s">
        <v>937</v>
      </c>
    </row>
    <row r="895" ht="14.25" customHeight="1">
      <c r="G895" s="3" t="s">
        <v>938</v>
      </c>
    </row>
    <row r="896" ht="14.25" customHeight="1">
      <c r="G896" s="3" t="s">
        <v>939</v>
      </c>
    </row>
    <row r="897" ht="14.25" customHeight="1">
      <c r="G897" s="3" t="s">
        <v>940</v>
      </c>
    </row>
    <row r="898" ht="14.25" customHeight="1">
      <c r="G898" s="3" t="s">
        <v>941</v>
      </c>
    </row>
    <row r="899" ht="14.25" customHeight="1">
      <c r="G899" s="3" t="s">
        <v>942</v>
      </c>
    </row>
    <row r="900" ht="14.25" customHeight="1">
      <c r="G900" s="3" t="s">
        <v>943</v>
      </c>
    </row>
    <row r="901" ht="14.25" customHeight="1">
      <c r="G901" s="3" t="s">
        <v>944</v>
      </c>
    </row>
    <row r="902" ht="14.25" customHeight="1">
      <c r="G902" s="3" t="s">
        <v>945</v>
      </c>
    </row>
    <row r="903" ht="14.25" customHeight="1">
      <c r="G903" s="3" t="s">
        <v>946</v>
      </c>
    </row>
    <row r="904" ht="14.25" customHeight="1">
      <c r="G904" s="3" t="s">
        <v>947</v>
      </c>
    </row>
    <row r="905" ht="14.25" customHeight="1">
      <c r="G905" s="3" t="s">
        <v>948</v>
      </c>
    </row>
    <row r="906" ht="14.25" customHeight="1">
      <c r="G906" s="3" t="s">
        <v>949</v>
      </c>
    </row>
    <row r="907" ht="14.25" customHeight="1">
      <c r="G907" s="3" t="s">
        <v>950</v>
      </c>
    </row>
    <row r="908" ht="14.25" customHeight="1">
      <c r="G908" s="3" t="s">
        <v>951</v>
      </c>
    </row>
    <row r="909" ht="14.25" customHeight="1">
      <c r="G909" s="3" t="s">
        <v>952</v>
      </c>
    </row>
    <row r="910" ht="14.25" customHeight="1">
      <c r="G910" s="3" t="s">
        <v>953</v>
      </c>
    </row>
    <row r="911" ht="14.25" customHeight="1">
      <c r="G911" s="3" t="s">
        <v>954</v>
      </c>
    </row>
    <row r="912" ht="14.25" customHeight="1">
      <c r="G912" s="3" t="s">
        <v>955</v>
      </c>
    </row>
    <row r="913" ht="14.25" customHeight="1">
      <c r="G913" s="3" t="s">
        <v>956</v>
      </c>
    </row>
    <row r="914" ht="14.25" customHeight="1">
      <c r="G914" s="3" t="s">
        <v>957</v>
      </c>
    </row>
    <row r="915" ht="14.25" customHeight="1">
      <c r="G915" s="3" t="s">
        <v>958</v>
      </c>
    </row>
    <row r="916" ht="14.25" customHeight="1">
      <c r="G916" s="3" t="s">
        <v>959</v>
      </c>
    </row>
    <row r="917" ht="14.25" customHeight="1">
      <c r="G917" s="3" t="s">
        <v>960</v>
      </c>
    </row>
    <row r="918" ht="14.25" customHeight="1">
      <c r="G918" s="3" t="s">
        <v>961</v>
      </c>
    </row>
    <row r="919" ht="14.25" customHeight="1">
      <c r="G919" s="3" t="s">
        <v>962</v>
      </c>
    </row>
    <row r="920" ht="14.25" customHeight="1">
      <c r="G920" s="3" t="s">
        <v>963</v>
      </c>
    </row>
    <row r="921" ht="14.25" customHeight="1">
      <c r="G921" s="3" t="s">
        <v>964</v>
      </c>
    </row>
    <row r="922" ht="14.25" customHeight="1">
      <c r="G922" s="3" t="s">
        <v>965</v>
      </c>
    </row>
    <row r="923" ht="14.25" customHeight="1">
      <c r="G923" s="3" t="s">
        <v>966</v>
      </c>
    </row>
    <row r="924" ht="14.25" customHeight="1">
      <c r="G924" s="3" t="s">
        <v>967</v>
      </c>
    </row>
    <row r="925" ht="14.25" customHeight="1">
      <c r="G925" s="3" t="s">
        <v>968</v>
      </c>
    </row>
    <row r="926" ht="14.25" customHeight="1">
      <c r="G926" s="3" t="s">
        <v>969</v>
      </c>
    </row>
    <row r="927" ht="14.25" customHeight="1">
      <c r="G927" s="3" t="s">
        <v>970</v>
      </c>
    </row>
    <row r="928" ht="14.25" customHeight="1">
      <c r="G928" s="3" t="s">
        <v>971</v>
      </c>
    </row>
    <row r="929" ht="14.25" customHeight="1">
      <c r="G929" s="3" t="s">
        <v>972</v>
      </c>
    </row>
    <row r="930" ht="14.25" customHeight="1">
      <c r="G930" s="3" t="s">
        <v>973</v>
      </c>
    </row>
    <row r="931" ht="14.25" customHeight="1">
      <c r="G931" s="3" t="s">
        <v>974</v>
      </c>
    </row>
    <row r="932" ht="14.25" customHeight="1">
      <c r="G932" s="3" t="s">
        <v>975</v>
      </c>
    </row>
    <row r="933" ht="14.25" customHeight="1">
      <c r="G933" s="3" t="s">
        <v>976</v>
      </c>
    </row>
    <row r="934" ht="14.25" customHeight="1">
      <c r="G934" s="3" t="s">
        <v>977</v>
      </c>
    </row>
    <row r="935" ht="14.25" customHeight="1">
      <c r="G935" s="3" t="s">
        <v>978</v>
      </c>
    </row>
    <row r="936" ht="14.25" customHeight="1">
      <c r="G936" s="3" t="s">
        <v>979</v>
      </c>
    </row>
    <row r="937" ht="14.25" customHeight="1">
      <c r="G937" s="3" t="s">
        <v>980</v>
      </c>
    </row>
    <row r="938" ht="14.25" customHeight="1">
      <c r="G938" s="3" t="s">
        <v>981</v>
      </c>
    </row>
    <row r="939" ht="14.25" customHeight="1">
      <c r="G939" s="3" t="s">
        <v>982</v>
      </c>
    </row>
    <row r="940" ht="14.25" customHeight="1">
      <c r="G940" s="3" t="s">
        <v>983</v>
      </c>
    </row>
    <row r="941" ht="14.25" customHeight="1">
      <c r="G941" s="3" t="s">
        <v>984</v>
      </c>
    </row>
    <row r="942" ht="14.25" customHeight="1">
      <c r="G942" s="3" t="s">
        <v>985</v>
      </c>
    </row>
    <row r="943" ht="14.25" customHeight="1">
      <c r="G943" s="3" t="s">
        <v>986</v>
      </c>
    </row>
    <row r="944" ht="14.25" customHeight="1">
      <c r="G944" s="3" t="s">
        <v>987</v>
      </c>
    </row>
    <row r="945" ht="14.25" customHeight="1">
      <c r="G945" s="3" t="s">
        <v>988</v>
      </c>
    </row>
    <row r="946" ht="14.25" customHeight="1">
      <c r="G946" s="3" t="s">
        <v>989</v>
      </c>
    </row>
    <row r="947" ht="14.25" customHeight="1">
      <c r="G947" s="3" t="s">
        <v>990</v>
      </c>
    </row>
    <row r="948" ht="14.25" customHeight="1">
      <c r="G948" s="3" t="s">
        <v>991</v>
      </c>
    </row>
    <row r="949" ht="14.25" customHeight="1">
      <c r="G949" s="3" t="s">
        <v>992</v>
      </c>
    </row>
    <row r="950" ht="14.25" customHeight="1">
      <c r="G950" s="3" t="s">
        <v>993</v>
      </c>
    </row>
    <row r="951" ht="14.25" customHeight="1">
      <c r="G951" s="3" t="s">
        <v>994</v>
      </c>
    </row>
    <row r="952" ht="14.25" customHeight="1">
      <c r="G952" s="3" t="s">
        <v>995</v>
      </c>
    </row>
    <row r="953" ht="14.25" customHeight="1">
      <c r="G953" s="3" t="s">
        <v>996</v>
      </c>
    </row>
    <row r="954" ht="14.25" customHeight="1">
      <c r="G954" s="3" t="s">
        <v>997</v>
      </c>
    </row>
    <row r="955" ht="14.25" customHeight="1">
      <c r="G955" s="3" t="s">
        <v>998</v>
      </c>
    </row>
    <row r="956" ht="14.25" customHeight="1">
      <c r="G956" s="3" t="s">
        <v>999</v>
      </c>
    </row>
    <row r="957" ht="14.25" customHeight="1">
      <c r="G957" s="3" t="s">
        <v>1000</v>
      </c>
    </row>
    <row r="958" ht="14.25" customHeight="1">
      <c r="G958" s="3" t="s">
        <v>1001</v>
      </c>
    </row>
    <row r="959" ht="14.25" customHeight="1">
      <c r="G959" s="3" t="s">
        <v>1002</v>
      </c>
    </row>
    <row r="960" ht="14.25" customHeight="1">
      <c r="G960" s="3" t="s">
        <v>1003</v>
      </c>
    </row>
    <row r="961" ht="14.25" customHeight="1">
      <c r="G961" s="3" t="s">
        <v>1004</v>
      </c>
    </row>
    <row r="962" ht="14.25" customHeight="1">
      <c r="G962" s="3" t="s">
        <v>1005</v>
      </c>
    </row>
    <row r="963" ht="14.25" customHeight="1">
      <c r="G963" s="3" t="s">
        <v>1006</v>
      </c>
    </row>
    <row r="964" ht="14.25" customHeight="1">
      <c r="G964" s="3" t="s">
        <v>1007</v>
      </c>
    </row>
    <row r="965" ht="14.25" customHeight="1">
      <c r="G965" s="3" t="s">
        <v>1008</v>
      </c>
    </row>
    <row r="966" ht="14.25" customHeight="1">
      <c r="G966" s="3" t="s">
        <v>1009</v>
      </c>
    </row>
    <row r="967" ht="14.25" customHeight="1">
      <c r="G967" s="3" t="s">
        <v>1010</v>
      </c>
    </row>
    <row r="968" ht="14.25" customHeight="1">
      <c r="G968" s="3" t="s">
        <v>1011</v>
      </c>
    </row>
    <row r="969" ht="14.25" customHeight="1">
      <c r="G969" s="3" t="s">
        <v>1012</v>
      </c>
    </row>
    <row r="970" ht="14.25" customHeight="1">
      <c r="G970" s="3" t="s">
        <v>1013</v>
      </c>
    </row>
    <row r="971" ht="14.25" customHeight="1">
      <c r="G971" s="3" t="s">
        <v>1014</v>
      </c>
    </row>
    <row r="972" ht="14.25" customHeight="1">
      <c r="G972" s="3" t="s">
        <v>1015</v>
      </c>
    </row>
    <row r="973" ht="14.25" customHeight="1">
      <c r="G973" s="3" t="s">
        <v>1016</v>
      </c>
    </row>
    <row r="974" ht="14.25" customHeight="1">
      <c r="G974" s="3" t="s">
        <v>1017</v>
      </c>
    </row>
    <row r="975" ht="14.25" customHeight="1">
      <c r="G975" s="3" t="s">
        <v>1018</v>
      </c>
    </row>
    <row r="976" ht="14.25" customHeight="1">
      <c r="G976" s="3" t="s">
        <v>1019</v>
      </c>
    </row>
    <row r="977" ht="14.25" customHeight="1">
      <c r="G977" s="3" t="s">
        <v>1020</v>
      </c>
    </row>
    <row r="978" ht="14.25" customHeight="1">
      <c r="G978" s="3" t="s">
        <v>1021</v>
      </c>
    </row>
    <row r="979" ht="14.25" customHeight="1">
      <c r="G979" s="3" t="s">
        <v>1022</v>
      </c>
    </row>
    <row r="980" ht="14.25" customHeight="1">
      <c r="G980" s="3" t="s">
        <v>1023</v>
      </c>
    </row>
    <row r="981" ht="14.25" customHeight="1">
      <c r="G981" s="3" t="s">
        <v>1024</v>
      </c>
    </row>
    <row r="982" ht="14.25" customHeight="1">
      <c r="G982" s="3" t="s">
        <v>1025</v>
      </c>
    </row>
    <row r="983" ht="14.25" customHeight="1">
      <c r="G983" s="3" t="s">
        <v>1026</v>
      </c>
    </row>
    <row r="984" ht="14.25" customHeight="1">
      <c r="G984" s="3" t="s">
        <v>1027</v>
      </c>
    </row>
    <row r="985" ht="14.25" customHeight="1">
      <c r="G985" s="3" t="s">
        <v>1028</v>
      </c>
    </row>
    <row r="986" ht="14.25" customHeight="1">
      <c r="G986" s="3" t="s">
        <v>1029</v>
      </c>
    </row>
    <row r="987" ht="14.25" customHeight="1">
      <c r="G987" s="3" t="s">
        <v>1030</v>
      </c>
    </row>
    <row r="988" ht="14.25" customHeight="1">
      <c r="G988" s="3" t="s">
        <v>1031</v>
      </c>
    </row>
    <row r="989" ht="14.25" customHeight="1">
      <c r="G989" s="3" t="s">
        <v>1032</v>
      </c>
    </row>
    <row r="990" ht="14.25" customHeight="1">
      <c r="G990" s="3" t="s">
        <v>1033</v>
      </c>
    </row>
    <row r="991" ht="14.25" customHeight="1">
      <c r="G991" s="3" t="s">
        <v>1034</v>
      </c>
    </row>
    <row r="992" ht="14.25" customHeight="1">
      <c r="G992" s="3" t="s">
        <v>1035</v>
      </c>
    </row>
    <row r="993" ht="14.25" customHeight="1">
      <c r="G993" s="3" t="s">
        <v>1036</v>
      </c>
    </row>
    <row r="994" ht="14.25" customHeight="1">
      <c r="G994" s="3" t="s">
        <v>1037</v>
      </c>
    </row>
    <row r="995" ht="14.25" customHeight="1">
      <c r="G995" s="3" t="s">
        <v>1038</v>
      </c>
    </row>
    <row r="996" ht="14.25" customHeight="1">
      <c r="G996" s="3" t="s">
        <v>1039</v>
      </c>
    </row>
    <row r="997" ht="14.25" customHeight="1">
      <c r="G997" s="3" t="s">
        <v>1040</v>
      </c>
    </row>
    <row r="998" ht="14.25" customHeight="1">
      <c r="G998" s="3" t="s">
        <v>1041</v>
      </c>
    </row>
    <row r="999" ht="14.25" customHeight="1">
      <c r="G999" s="3" t="s">
        <v>1042</v>
      </c>
    </row>
    <row r="1000" ht="14.25" customHeight="1">
      <c r="G1000" s="3" t="s">
        <v>1043</v>
      </c>
    </row>
    <row r="1001" ht="14.25" customHeight="1">
      <c r="G1001" s="3" t="s">
        <v>1044</v>
      </c>
    </row>
    <row r="1002" ht="14.25" customHeight="1">
      <c r="G1002" s="3" t="s">
        <v>1045</v>
      </c>
    </row>
    <row r="1003" ht="14.25" customHeight="1">
      <c r="G1003" s="3" t="s">
        <v>1046</v>
      </c>
    </row>
    <row r="1004" ht="14.25" customHeight="1">
      <c r="G1004" s="3" t="s">
        <v>1047</v>
      </c>
    </row>
    <row r="1005" ht="14.25" customHeight="1">
      <c r="G1005" s="3" t="s">
        <v>1048</v>
      </c>
    </row>
    <row r="1006" ht="14.25" customHeight="1">
      <c r="G1006" s="3" t="s">
        <v>1049</v>
      </c>
    </row>
    <row r="1007" ht="14.25" customHeight="1">
      <c r="G1007" s="3" t="s">
        <v>1050</v>
      </c>
    </row>
    <row r="1008" ht="14.25" customHeight="1">
      <c r="G1008" s="3" t="s">
        <v>1051</v>
      </c>
    </row>
    <row r="1009" ht="14.25" customHeight="1">
      <c r="G1009" s="3" t="s">
        <v>1052</v>
      </c>
    </row>
    <row r="1010" ht="14.25" customHeight="1">
      <c r="G1010" s="3" t="s">
        <v>1053</v>
      </c>
    </row>
    <row r="1011" ht="14.25" customHeight="1">
      <c r="G1011" s="3" t="s">
        <v>1054</v>
      </c>
    </row>
    <row r="1012" ht="14.25" customHeight="1">
      <c r="G1012" s="3" t="s">
        <v>1055</v>
      </c>
    </row>
    <row r="1013" ht="14.25" customHeight="1">
      <c r="G1013" s="3" t="s">
        <v>1056</v>
      </c>
    </row>
    <row r="1014" ht="14.25" customHeight="1">
      <c r="G1014" s="3" t="s">
        <v>1057</v>
      </c>
    </row>
    <row r="1015" ht="14.25" customHeight="1">
      <c r="G1015" s="3" t="s">
        <v>1058</v>
      </c>
    </row>
    <row r="1016" ht="14.25" customHeight="1">
      <c r="G1016" s="3" t="s">
        <v>1059</v>
      </c>
    </row>
    <row r="1017" ht="14.25" customHeight="1">
      <c r="G1017" s="3" t="s">
        <v>1060</v>
      </c>
    </row>
    <row r="1018" ht="14.25" customHeight="1">
      <c r="G1018" s="3" t="s">
        <v>1061</v>
      </c>
    </row>
    <row r="1019" ht="14.25" customHeight="1">
      <c r="G1019" s="3" t="s">
        <v>1062</v>
      </c>
    </row>
    <row r="1020" ht="14.25" customHeight="1">
      <c r="G1020" s="3" t="s">
        <v>1063</v>
      </c>
    </row>
    <row r="1021" ht="14.25" customHeight="1">
      <c r="G1021" s="3" t="s">
        <v>1064</v>
      </c>
    </row>
    <row r="1022" ht="14.25" customHeight="1">
      <c r="G1022" s="3" t="s">
        <v>1065</v>
      </c>
    </row>
    <row r="1023" ht="14.25" customHeight="1">
      <c r="G1023" s="3" t="s">
        <v>1066</v>
      </c>
    </row>
    <row r="1024" ht="14.25" customHeight="1">
      <c r="G1024" s="3" t="s">
        <v>1067</v>
      </c>
    </row>
    <row r="1025" ht="14.25" customHeight="1">
      <c r="G1025" s="3" t="s">
        <v>1068</v>
      </c>
    </row>
    <row r="1026" ht="14.25" customHeight="1">
      <c r="G1026" s="3" t="s">
        <v>1069</v>
      </c>
    </row>
    <row r="1027" ht="14.25" customHeight="1">
      <c r="G1027" s="3" t="s">
        <v>1070</v>
      </c>
    </row>
    <row r="1028" ht="14.25" customHeight="1">
      <c r="G1028" s="3" t="s">
        <v>1071</v>
      </c>
    </row>
    <row r="1029" ht="14.25" customHeight="1">
      <c r="G1029" s="3" t="s">
        <v>1072</v>
      </c>
    </row>
    <row r="1030" ht="14.25" customHeight="1">
      <c r="G1030" s="3" t="s">
        <v>1073</v>
      </c>
    </row>
    <row r="1031" ht="14.25" customHeight="1">
      <c r="G1031" s="3" t="s">
        <v>1074</v>
      </c>
    </row>
    <row r="1032" ht="14.25" customHeight="1">
      <c r="G1032" s="3" t="s">
        <v>1075</v>
      </c>
    </row>
    <row r="1033" ht="14.25" customHeight="1">
      <c r="G1033" s="3" t="s">
        <v>1076</v>
      </c>
    </row>
    <row r="1034" ht="14.25" customHeight="1">
      <c r="G1034" s="3" t="s">
        <v>1077</v>
      </c>
    </row>
    <row r="1035" ht="14.25" customHeight="1">
      <c r="G1035" s="3" t="s">
        <v>1078</v>
      </c>
    </row>
    <row r="1036" ht="14.25" customHeight="1">
      <c r="G1036" s="3" t="s">
        <v>1079</v>
      </c>
    </row>
    <row r="1037" ht="14.25" customHeight="1">
      <c r="G1037" s="3" t="s">
        <v>1080</v>
      </c>
    </row>
    <row r="1038" ht="14.25" customHeight="1">
      <c r="G1038" s="3" t="s">
        <v>1081</v>
      </c>
    </row>
    <row r="1039" ht="14.25" customHeight="1">
      <c r="G1039" s="3" t="s">
        <v>1082</v>
      </c>
    </row>
    <row r="1040" ht="14.25" customHeight="1">
      <c r="G1040" s="3" t="s">
        <v>1083</v>
      </c>
    </row>
    <row r="1041" ht="14.25" customHeight="1">
      <c r="G1041" s="3" t="s">
        <v>1084</v>
      </c>
    </row>
    <row r="1042" ht="14.25" customHeight="1">
      <c r="G1042" s="3" t="s">
        <v>1085</v>
      </c>
    </row>
    <row r="1043" ht="14.25" customHeight="1">
      <c r="G1043" s="3" t="s">
        <v>1086</v>
      </c>
    </row>
    <row r="1044" ht="14.25" customHeight="1">
      <c r="G1044" s="3" t="s">
        <v>1087</v>
      </c>
    </row>
    <row r="1045" ht="14.25" customHeight="1">
      <c r="G1045" s="3" t="s">
        <v>1088</v>
      </c>
    </row>
    <row r="1046" ht="14.25" customHeight="1">
      <c r="G1046" s="3" t="s">
        <v>1089</v>
      </c>
    </row>
    <row r="1047" ht="14.25" customHeight="1">
      <c r="G1047" s="3" t="s">
        <v>1090</v>
      </c>
    </row>
    <row r="1048" ht="14.25" customHeight="1">
      <c r="G1048" s="3" t="s">
        <v>1091</v>
      </c>
    </row>
    <row r="1049" ht="14.25" customHeight="1">
      <c r="G1049" s="3" t="s">
        <v>1092</v>
      </c>
    </row>
    <row r="1050" ht="14.25" customHeight="1">
      <c r="G1050" s="3" t="s">
        <v>1093</v>
      </c>
    </row>
    <row r="1051" ht="14.25" customHeight="1">
      <c r="G1051" s="3" t="s">
        <v>1094</v>
      </c>
    </row>
    <row r="1052" ht="14.25" customHeight="1">
      <c r="G1052" s="3" t="s">
        <v>1095</v>
      </c>
    </row>
    <row r="1053" ht="14.25" customHeight="1">
      <c r="G1053" s="3" t="s">
        <v>1096</v>
      </c>
    </row>
    <row r="1054" ht="14.25" customHeight="1">
      <c r="G1054" s="3" t="s">
        <v>1097</v>
      </c>
    </row>
    <row r="1055" ht="14.25" customHeight="1">
      <c r="G1055" s="3" t="s">
        <v>1098</v>
      </c>
    </row>
    <row r="1056" ht="14.25" customHeight="1">
      <c r="G1056" s="3" t="s">
        <v>1099</v>
      </c>
    </row>
    <row r="1057" ht="14.25" customHeight="1">
      <c r="G1057" s="3" t="s">
        <v>1100</v>
      </c>
    </row>
    <row r="1058" ht="14.25" customHeight="1">
      <c r="G1058" s="3" t="s">
        <v>1101</v>
      </c>
    </row>
    <row r="1059" ht="14.25" customHeight="1">
      <c r="G1059" s="3" t="s">
        <v>1102</v>
      </c>
    </row>
    <row r="1060" ht="14.25" customHeight="1">
      <c r="G1060" s="3" t="s">
        <v>1103</v>
      </c>
    </row>
    <row r="1061" ht="14.25" customHeight="1">
      <c r="G1061" s="3" t="s">
        <v>1104</v>
      </c>
    </row>
    <row r="1062" ht="14.25" customHeight="1">
      <c r="G1062" s="3" t="s">
        <v>1105</v>
      </c>
    </row>
    <row r="1063" ht="14.25" customHeight="1">
      <c r="G1063" s="3" t="s">
        <v>1106</v>
      </c>
    </row>
    <row r="1064" ht="14.25" customHeight="1">
      <c r="G1064" s="3" t="s">
        <v>1107</v>
      </c>
    </row>
    <row r="1065" ht="14.25" customHeight="1">
      <c r="G1065" s="3" t="s">
        <v>1108</v>
      </c>
    </row>
    <row r="1066" ht="14.25" customHeight="1">
      <c r="G1066" s="3" t="s">
        <v>1109</v>
      </c>
    </row>
    <row r="1067" ht="14.25" customHeight="1">
      <c r="G1067" s="3" t="s">
        <v>1110</v>
      </c>
    </row>
    <row r="1068" ht="14.25" customHeight="1">
      <c r="G1068" s="3" t="s">
        <v>1111</v>
      </c>
    </row>
    <row r="1069" ht="14.25" customHeight="1">
      <c r="G1069" s="3" t="s">
        <v>1112</v>
      </c>
    </row>
    <row r="1070" ht="14.25" customHeight="1">
      <c r="G1070" s="3" t="s">
        <v>1113</v>
      </c>
    </row>
    <row r="1071" ht="14.25" customHeight="1">
      <c r="G1071" s="3" t="s">
        <v>1114</v>
      </c>
    </row>
    <row r="1072" ht="14.25" customHeight="1">
      <c r="G1072" s="3" t="s">
        <v>1115</v>
      </c>
    </row>
    <row r="1073" ht="14.25" customHeight="1">
      <c r="G1073" s="3" t="s">
        <v>1116</v>
      </c>
    </row>
    <row r="1074" ht="14.25" customHeight="1">
      <c r="G1074" s="3" t="s">
        <v>1117</v>
      </c>
    </row>
    <row r="1075" ht="14.25" customHeight="1">
      <c r="G1075" s="3" t="s">
        <v>1118</v>
      </c>
    </row>
    <row r="1076" ht="14.25" customHeight="1">
      <c r="G1076" s="3" t="s">
        <v>1119</v>
      </c>
    </row>
    <row r="1077" ht="14.25" customHeight="1">
      <c r="G1077" s="3" t="s">
        <v>1120</v>
      </c>
    </row>
    <row r="1078" ht="14.25" customHeight="1">
      <c r="G1078" s="3" t="s">
        <v>1121</v>
      </c>
    </row>
    <row r="1079" ht="14.25" customHeight="1">
      <c r="G1079" s="3" t="s">
        <v>1122</v>
      </c>
    </row>
    <row r="1080" ht="14.25" customHeight="1">
      <c r="G1080" s="3" t="s">
        <v>1123</v>
      </c>
    </row>
    <row r="1081" ht="14.25" customHeight="1">
      <c r="G1081" s="3" t="s">
        <v>1124</v>
      </c>
    </row>
    <row r="1082" ht="14.25" customHeight="1">
      <c r="G1082" s="3" t="s">
        <v>1125</v>
      </c>
    </row>
    <row r="1083" ht="14.25" customHeight="1">
      <c r="G1083" s="3" t="s">
        <v>1126</v>
      </c>
    </row>
    <row r="1084" ht="14.25" customHeight="1">
      <c r="G1084" s="3" t="s">
        <v>1127</v>
      </c>
    </row>
    <row r="1085" ht="14.25" customHeight="1">
      <c r="G1085" s="3" t="s">
        <v>1128</v>
      </c>
    </row>
    <row r="1086" ht="14.25" customHeight="1">
      <c r="G1086" s="3" t="s">
        <v>1129</v>
      </c>
    </row>
    <row r="1087" ht="14.25" customHeight="1">
      <c r="G1087" s="3" t="s">
        <v>1130</v>
      </c>
    </row>
    <row r="1088" ht="14.25" customHeight="1">
      <c r="G1088" s="3" t="s">
        <v>1131</v>
      </c>
    </row>
    <row r="1089" ht="14.25" customHeight="1">
      <c r="G1089" s="3" t="s">
        <v>1132</v>
      </c>
    </row>
    <row r="1090" ht="14.25" customHeight="1">
      <c r="G1090" s="3" t="s">
        <v>1133</v>
      </c>
    </row>
    <row r="1091" ht="14.25" customHeight="1">
      <c r="G1091" s="3" t="s">
        <v>1134</v>
      </c>
    </row>
    <row r="1092" ht="14.25" customHeight="1">
      <c r="G1092" s="3" t="s">
        <v>1135</v>
      </c>
    </row>
    <row r="1093" ht="14.25" customHeight="1">
      <c r="G1093" s="3" t="s">
        <v>1136</v>
      </c>
    </row>
    <row r="1094" ht="14.25" customHeight="1">
      <c r="G1094" s="3" t="s">
        <v>1137</v>
      </c>
    </row>
    <row r="1095" ht="14.25" customHeight="1">
      <c r="G1095" s="3" t="s">
        <v>1138</v>
      </c>
    </row>
    <row r="1096" ht="14.25" customHeight="1">
      <c r="G1096" s="3" t="s">
        <v>1139</v>
      </c>
    </row>
    <row r="1097" ht="14.25" customHeight="1">
      <c r="G1097" s="3" t="s">
        <v>1140</v>
      </c>
    </row>
    <row r="1098" ht="14.25" customHeight="1">
      <c r="G1098" s="3" t="s">
        <v>1141</v>
      </c>
    </row>
    <row r="1099" ht="14.25" customHeight="1">
      <c r="G1099" s="3" t="s">
        <v>1142</v>
      </c>
    </row>
    <row r="1100" ht="14.25" customHeight="1">
      <c r="G1100" s="3" t="s">
        <v>1143</v>
      </c>
    </row>
    <row r="1101" ht="14.25" customHeight="1">
      <c r="G1101" s="3" t="s">
        <v>1144</v>
      </c>
    </row>
    <row r="1102" ht="14.25" customHeight="1">
      <c r="G1102" s="3" t="s">
        <v>1145</v>
      </c>
    </row>
    <row r="1103" ht="14.25" customHeight="1">
      <c r="G1103" s="3" t="s">
        <v>1146</v>
      </c>
    </row>
    <row r="1104" ht="14.25" customHeight="1">
      <c r="G1104" s="3" t="s">
        <v>1147</v>
      </c>
    </row>
    <row r="1105" ht="14.25" customHeight="1">
      <c r="G1105" s="3" t="s">
        <v>1148</v>
      </c>
    </row>
    <row r="1106" ht="14.25" customHeight="1">
      <c r="G1106" s="3" t="s">
        <v>1149</v>
      </c>
    </row>
    <row r="1107" ht="14.25" customHeight="1">
      <c r="G1107" s="3" t="s">
        <v>1150</v>
      </c>
    </row>
    <row r="1108" ht="14.25" customHeight="1">
      <c r="G1108" s="3" t="s">
        <v>1151</v>
      </c>
    </row>
    <row r="1109" ht="14.25" customHeight="1">
      <c r="G1109" s="3" t="s">
        <v>1152</v>
      </c>
    </row>
    <row r="1110" ht="14.25" customHeight="1">
      <c r="G1110" s="3" t="s">
        <v>1153</v>
      </c>
    </row>
    <row r="1111" ht="14.25" customHeight="1">
      <c r="G1111" s="3" t="s">
        <v>1154</v>
      </c>
    </row>
    <row r="1112" ht="14.25" customHeight="1">
      <c r="G1112" s="3" t="s">
        <v>1155</v>
      </c>
    </row>
    <row r="1113" ht="14.25" customHeight="1">
      <c r="G1113" s="3" t="s">
        <v>1156</v>
      </c>
    </row>
    <row r="1114" ht="14.25" customHeight="1">
      <c r="G1114" s="3" t="s">
        <v>1157</v>
      </c>
    </row>
    <row r="1115" ht="14.25" customHeight="1">
      <c r="G1115" s="3" t="s">
        <v>1158</v>
      </c>
    </row>
    <row r="1116" ht="14.25" customHeight="1">
      <c r="G1116" s="3" t="s">
        <v>1159</v>
      </c>
    </row>
    <row r="1117" ht="14.25" customHeight="1">
      <c r="G1117" s="3" t="s">
        <v>1160</v>
      </c>
    </row>
    <row r="1118" ht="14.25" customHeight="1">
      <c r="G1118" s="3" t="s">
        <v>1161</v>
      </c>
    </row>
    <row r="1119" ht="14.25" customHeight="1">
      <c r="G1119" s="3" t="s">
        <v>1162</v>
      </c>
    </row>
    <row r="1120" ht="14.25" customHeight="1">
      <c r="G1120" s="3" t="s">
        <v>1163</v>
      </c>
    </row>
    <row r="1121" ht="14.25" customHeight="1">
      <c r="G1121" s="3" t="s">
        <v>1164</v>
      </c>
    </row>
    <row r="1122" ht="14.25" customHeight="1">
      <c r="G1122" s="3" t="s">
        <v>1165</v>
      </c>
    </row>
    <row r="1123" ht="14.25" customHeight="1">
      <c r="G1123" s="3" t="s">
        <v>1166</v>
      </c>
    </row>
    <row r="1124" ht="14.25" customHeight="1">
      <c r="G1124" s="3" t="s">
        <v>1167</v>
      </c>
    </row>
    <row r="1125" ht="14.25" customHeight="1">
      <c r="G1125" s="3" t="s">
        <v>1168</v>
      </c>
    </row>
    <row r="1126" ht="14.25" customHeight="1">
      <c r="G1126" s="3" t="s">
        <v>1169</v>
      </c>
    </row>
    <row r="1127" ht="14.25" customHeight="1">
      <c r="G1127" s="3" t="s">
        <v>1170</v>
      </c>
    </row>
    <row r="1128" ht="14.25" customHeight="1">
      <c r="G1128" s="3" t="s">
        <v>1171</v>
      </c>
    </row>
    <row r="1129" ht="14.25" customHeight="1">
      <c r="G1129" s="3" t="s">
        <v>1172</v>
      </c>
    </row>
    <row r="1130" ht="14.25" customHeight="1">
      <c r="G1130" s="3" t="s">
        <v>1173</v>
      </c>
    </row>
    <row r="1131" ht="14.25" customHeight="1">
      <c r="G1131" s="3" t="s">
        <v>1174</v>
      </c>
    </row>
    <row r="1132" ht="14.25" customHeight="1">
      <c r="G1132" s="3" t="s">
        <v>1175</v>
      </c>
    </row>
    <row r="1133" ht="14.25" customHeight="1">
      <c r="G1133" s="3" t="s">
        <v>1176</v>
      </c>
    </row>
    <row r="1134" ht="14.25" customHeight="1">
      <c r="G1134" s="3" t="s">
        <v>1177</v>
      </c>
    </row>
    <row r="1135" ht="14.25" customHeight="1">
      <c r="G1135" s="3" t="s">
        <v>1178</v>
      </c>
    </row>
    <row r="1136" ht="14.25" customHeight="1">
      <c r="G1136" s="3" t="s">
        <v>1179</v>
      </c>
    </row>
    <row r="1137" ht="14.25" customHeight="1">
      <c r="G1137" s="3" t="s">
        <v>1180</v>
      </c>
    </row>
    <row r="1138" ht="14.25" customHeight="1">
      <c r="G1138" s="3" t="s">
        <v>1181</v>
      </c>
    </row>
    <row r="1139" ht="14.25" customHeight="1">
      <c r="G1139" s="3" t="s">
        <v>1182</v>
      </c>
    </row>
    <row r="1140" ht="14.25" customHeight="1">
      <c r="G1140" s="3" t="s">
        <v>1183</v>
      </c>
    </row>
    <row r="1141" ht="14.25" customHeight="1">
      <c r="G1141" s="3" t="s">
        <v>1184</v>
      </c>
    </row>
    <row r="1142" ht="14.25" customHeight="1">
      <c r="G1142" s="3" t="s">
        <v>1185</v>
      </c>
    </row>
    <row r="1143" ht="14.25" customHeight="1">
      <c r="G1143" s="3" t="s">
        <v>1186</v>
      </c>
    </row>
    <row r="1144" ht="14.25" customHeight="1">
      <c r="G1144" s="3" t="s">
        <v>1187</v>
      </c>
    </row>
    <row r="1145" ht="14.25" customHeight="1">
      <c r="G1145" s="3" t="s">
        <v>1188</v>
      </c>
    </row>
    <row r="1146" ht="14.25" customHeight="1">
      <c r="G1146" s="3" t="s">
        <v>1189</v>
      </c>
    </row>
    <row r="1147" ht="14.25" customHeight="1">
      <c r="G1147" s="3" t="s">
        <v>1190</v>
      </c>
    </row>
    <row r="1148" ht="14.25" customHeight="1">
      <c r="G1148" s="3" t="s">
        <v>1191</v>
      </c>
    </row>
    <row r="1149" ht="14.25" customHeight="1">
      <c r="G1149" s="3" t="s">
        <v>1192</v>
      </c>
    </row>
    <row r="1150" ht="14.25" customHeight="1">
      <c r="G1150" s="3" t="s">
        <v>1193</v>
      </c>
    </row>
    <row r="1151" ht="14.25" customHeight="1">
      <c r="G1151" s="3" t="s">
        <v>1194</v>
      </c>
    </row>
    <row r="1152" ht="14.25" customHeight="1">
      <c r="G1152" s="3" t="s">
        <v>1195</v>
      </c>
    </row>
    <row r="1153" ht="14.25" customHeight="1">
      <c r="G1153" s="3" t="s">
        <v>1196</v>
      </c>
    </row>
    <row r="1154" ht="14.25" customHeight="1">
      <c r="G1154" s="3" t="s">
        <v>1197</v>
      </c>
    </row>
    <row r="1155" ht="14.25" customHeight="1">
      <c r="G1155" s="3" t="s">
        <v>1198</v>
      </c>
    </row>
    <row r="1156" ht="14.25" customHeight="1">
      <c r="G1156" s="3" t="s">
        <v>1199</v>
      </c>
    </row>
    <row r="1157" ht="14.25" customHeight="1">
      <c r="G1157" s="3" t="s">
        <v>1200</v>
      </c>
    </row>
    <row r="1158" ht="14.25" customHeight="1">
      <c r="G1158" s="3" t="s">
        <v>1201</v>
      </c>
    </row>
    <row r="1159" ht="14.25" customHeight="1">
      <c r="G1159" s="3" t="s">
        <v>1202</v>
      </c>
    </row>
    <row r="1160" ht="14.25" customHeight="1">
      <c r="G1160" s="3" t="s">
        <v>1203</v>
      </c>
    </row>
    <row r="1161" ht="14.25" customHeight="1">
      <c r="G1161" s="3" t="s">
        <v>1204</v>
      </c>
    </row>
    <row r="1162" ht="14.25" customHeight="1">
      <c r="G1162" s="3" t="s">
        <v>1205</v>
      </c>
    </row>
    <row r="1163" ht="14.25" customHeight="1">
      <c r="G1163" s="3" t="s">
        <v>1206</v>
      </c>
    </row>
    <row r="1164" ht="14.25" customHeight="1">
      <c r="G1164" s="3" t="s">
        <v>1207</v>
      </c>
    </row>
    <row r="1165" ht="14.25" customHeight="1">
      <c r="G1165" s="3" t="s">
        <v>1208</v>
      </c>
    </row>
    <row r="1166" ht="14.25" customHeight="1">
      <c r="G1166" s="3" t="s">
        <v>1209</v>
      </c>
    </row>
    <row r="1167" ht="14.25" customHeight="1">
      <c r="G1167" s="3" t="s">
        <v>1210</v>
      </c>
    </row>
    <row r="1168" ht="14.25" customHeight="1">
      <c r="G1168" s="3" t="s">
        <v>1211</v>
      </c>
    </row>
    <row r="1169" ht="14.25" customHeight="1">
      <c r="G1169" s="3" t="s">
        <v>1212</v>
      </c>
    </row>
    <row r="1170" ht="14.25" customHeight="1">
      <c r="G1170" s="3" t="s">
        <v>1213</v>
      </c>
    </row>
    <row r="1171" ht="14.25" customHeight="1">
      <c r="G1171" s="3" t="s">
        <v>1214</v>
      </c>
    </row>
    <row r="1172" ht="14.25" customHeight="1">
      <c r="G1172" s="3" t="s">
        <v>1215</v>
      </c>
    </row>
    <row r="1173" ht="14.25" customHeight="1">
      <c r="G1173" s="3" t="s">
        <v>1216</v>
      </c>
    </row>
    <row r="1174" ht="14.25" customHeight="1">
      <c r="G1174" s="3" t="s">
        <v>1217</v>
      </c>
    </row>
    <row r="1175" ht="14.25" customHeight="1">
      <c r="G1175" s="3" t="s">
        <v>1218</v>
      </c>
    </row>
    <row r="1176" ht="14.25" customHeight="1">
      <c r="G1176" s="3" t="s">
        <v>1219</v>
      </c>
    </row>
    <row r="1177" ht="14.25" customHeight="1">
      <c r="G1177" s="3" t="s">
        <v>1220</v>
      </c>
    </row>
    <row r="1178" ht="14.25" customHeight="1">
      <c r="G1178" s="3" t="s">
        <v>1221</v>
      </c>
    </row>
    <row r="1179" ht="14.25" customHeight="1">
      <c r="G1179" s="3" t="s">
        <v>1222</v>
      </c>
    </row>
    <row r="1180" ht="14.25" customHeight="1">
      <c r="G1180" s="3" t="s">
        <v>1223</v>
      </c>
    </row>
    <row r="1181" ht="14.25" customHeight="1">
      <c r="G1181" s="3" t="s">
        <v>1224</v>
      </c>
    </row>
    <row r="1182" ht="14.25" customHeight="1">
      <c r="G1182" s="3" t="s">
        <v>1225</v>
      </c>
    </row>
    <row r="1183" ht="14.25" customHeight="1">
      <c r="G1183" s="3" t="s">
        <v>1226</v>
      </c>
    </row>
    <row r="1184" ht="14.25" customHeight="1">
      <c r="G1184" s="3" t="s">
        <v>1227</v>
      </c>
    </row>
    <row r="1185" ht="14.25" customHeight="1">
      <c r="G1185" s="3" t="s">
        <v>1228</v>
      </c>
    </row>
    <row r="1186" ht="14.25" customHeight="1">
      <c r="G1186" s="3" t="s">
        <v>1229</v>
      </c>
    </row>
    <row r="1187" ht="14.25" customHeight="1">
      <c r="G1187" s="3" t="s">
        <v>1230</v>
      </c>
    </row>
    <row r="1188" ht="14.25" customHeight="1">
      <c r="G1188" s="3" t="s">
        <v>1231</v>
      </c>
    </row>
    <row r="1189" ht="14.25" customHeight="1">
      <c r="G1189" s="3" t="s">
        <v>1232</v>
      </c>
    </row>
    <row r="1190" ht="14.25" customHeight="1">
      <c r="G1190" s="3" t="s">
        <v>1233</v>
      </c>
    </row>
    <row r="1191" ht="14.25" customHeight="1">
      <c r="G1191" s="3" t="s">
        <v>1234</v>
      </c>
    </row>
    <row r="1192" ht="14.25" customHeight="1">
      <c r="G1192" s="3" t="s">
        <v>1235</v>
      </c>
    </row>
    <row r="1193" ht="14.25" customHeight="1">
      <c r="G1193" s="3" t="s">
        <v>1236</v>
      </c>
    </row>
    <row r="1194" ht="14.25" customHeight="1">
      <c r="G1194" s="3" t="s">
        <v>1237</v>
      </c>
    </row>
    <row r="1195" ht="14.25" customHeight="1">
      <c r="G1195" s="3" t="s">
        <v>1238</v>
      </c>
    </row>
    <row r="1196" ht="14.25" customHeight="1">
      <c r="G1196" s="3" t="s">
        <v>1239</v>
      </c>
    </row>
    <row r="1197" ht="14.25" customHeight="1">
      <c r="G1197" s="3" t="s">
        <v>1240</v>
      </c>
    </row>
    <row r="1198" ht="14.25" customHeight="1">
      <c r="G1198" s="3" t="s">
        <v>1241</v>
      </c>
    </row>
    <row r="1199" ht="14.25" customHeight="1">
      <c r="G1199" s="3" t="s">
        <v>1242</v>
      </c>
    </row>
    <row r="1200" ht="14.25" customHeight="1">
      <c r="G1200" s="3" t="s">
        <v>1243</v>
      </c>
    </row>
    <row r="1201" ht="14.25" customHeight="1">
      <c r="G1201" s="3" t="s">
        <v>1244</v>
      </c>
    </row>
    <row r="1202" ht="14.25" customHeight="1">
      <c r="G1202" s="3" t="s">
        <v>1245</v>
      </c>
    </row>
    <row r="1203" ht="14.25" customHeight="1">
      <c r="G1203" s="3" t="s">
        <v>1246</v>
      </c>
    </row>
    <row r="1204" ht="14.25" customHeight="1">
      <c r="G1204" s="3" t="s">
        <v>1247</v>
      </c>
    </row>
    <row r="1205" ht="14.25" customHeight="1">
      <c r="G1205" s="3" t="s">
        <v>1248</v>
      </c>
    </row>
    <row r="1206" ht="14.25" customHeight="1">
      <c r="G1206" s="3" t="s">
        <v>1249</v>
      </c>
    </row>
    <row r="1207" ht="14.25" customHeight="1">
      <c r="G1207" s="3" t="s">
        <v>1250</v>
      </c>
    </row>
    <row r="1208" ht="14.25" customHeight="1">
      <c r="G1208" s="3" t="s">
        <v>1251</v>
      </c>
    </row>
    <row r="1209" ht="14.25" customHeight="1">
      <c r="G1209" s="3" t="s">
        <v>1252</v>
      </c>
    </row>
    <row r="1210" ht="14.25" customHeight="1">
      <c r="G1210" s="3" t="s">
        <v>1253</v>
      </c>
    </row>
    <row r="1211" ht="14.25" customHeight="1">
      <c r="G1211" s="3" t="s">
        <v>1254</v>
      </c>
    </row>
    <row r="1212" ht="14.25" customHeight="1">
      <c r="G1212" s="3" t="s">
        <v>1255</v>
      </c>
    </row>
    <row r="1213" ht="14.25" customHeight="1">
      <c r="G1213" s="3" t="s">
        <v>1256</v>
      </c>
    </row>
    <row r="1214" ht="14.25" customHeight="1">
      <c r="G1214" s="3" t="s">
        <v>1257</v>
      </c>
    </row>
    <row r="1215" ht="14.25" customHeight="1">
      <c r="G1215" s="3" t="s">
        <v>1258</v>
      </c>
    </row>
    <row r="1216" ht="14.25" customHeight="1">
      <c r="G1216" s="3" t="s">
        <v>1259</v>
      </c>
    </row>
    <row r="1217" ht="14.25" customHeight="1">
      <c r="G1217" s="3" t="s">
        <v>1260</v>
      </c>
    </row>
    <row r="1218" ht="14.25" customHeight="1">
      <c r="G1218" s="3" t="s">
        <v>1261</v>
      </c>
    </row>
    <row r="1219" ht="14.25" customHeight="1">
      <c r="G1219" s="3" t="s">
        <v>1262</v>
      </c>
    </row>
    <row r="1220" ht="14.25" customHeight="1">
      <c r="G1220" s="3" t="s">
        <v>1263</v>
      </c>
    </row>
    <row r="1221" ht="14.25" customHeight="1">
      <c r="G1221" s="3" t="s">
        <v>1264</v>
      </c>
    </row>
    <row r="1222" ht="14.25" customHeight="1">
      <c r="G1222" s="3" t="s">
        <v>1265</v>
      </c>
    </row>
    <row r="1223" ht="14.25" customHeight="1">
      <c r="G1223" s="3" t="s">
        <v>1266</v>
      </c>
    </row>
    <row r="1224" ht="14.25" customHeight="1">
      <c r="G1224" s="3" t="s">
        <v>1267</v>
      </c>
    </row>
    <row r="1225" ht="14.25" customHeight="1">
      <c r="G1225" s="3" t="s">
        <v>1268</v>
      </c>
    </row>
    <row r="1226" ht="14.25" customHeight="1">
      <c r="G1226" s="3" t="s">
        <v>1269</v>
      </c>
    </row>
    <row r="1227" ht="14.25" customHeight="1">
      <c r="G1227" s="3" t="s">
        <v>1270</v>
      </c>
    </row>
    <row r="1228" ht="14.25" customHeight="1">
      <c r="G1228" s="3" t="s">
        <v>1271</v>
      </c>
    </row>
    <row r="1229" ht="14.25" customHeight="1">
      <c r="G1229" s="3" t="s">
        <v>1272</v>
      </c>
    </row>
    <row r="1230" ht="14.25" customHeight="1">
      <c r="G1230" s="3" t="s">
        <v>1273</v>
      </c>
    </row>
    <row r="1231" ht="14.25" customHeight="1">
      <c r="G1231" s="3" t="s">
        <v>1274</v>
      </c>
    </row>
    <row r="1232" ht="14.25" customHeight="1">
      <c r="G1232" s="3" t="s">
        <v>1275</v>
      </c>
    </row>
    <row r="1233" ht="14.25" customHeight="1">
      <c r="G1233" s="3" t="s">
        <v>1276</v>
      </c>
    </row>
    <row r="1234" ht="14.25" customHeight="1">
      <c r="G1234" s="3" t="s">
        <v>1277</v>
      </c>
    </row>
    <row r="1235" ht="14.25" customHeight="1">
      <c r="G1235" s="3" t="s">
        <v>1278</v>
      </c>
    </row>
    <row r="1236" ht="14.25" customHeight="1">
      <c r="G1236" s="3" t="s">
        <v>1279</v>
      </c>
    </row>
    <row r="1237" ht="14.25" customHeight="1">
      <c r="G1237" s="3" t="s">
        <v>1280</v>
      </c>
    </row>
    <row r="1238" ht="14.25" customHeight="1">
      <c r="G1238" s="3" t="s">
        <v>1281</v>
      </c>
    </row>
    <row r="1239" ht="14.25" customHeight="1">
      <c r="G1239" s="3" t="s">
        <v>1282</v>
      </c>
    </row>
    <row r="1240" ht="14.25" customHeight="1">
      <c r="G1240" s="3" t="s">
        <v>1283</v>
      </c>
    </row>
    <row r="1241" ht="14.25" customHeight="1">
      <c r="G1241" s="3" t="s">
        <v>1284</v>
      </c>
    </row>
    <row r="1242" ht="14.25" customHeight="1">
      <c r="G1242" s="3" t="s">
        <v>1285</v>
      </c>
    </row>
    <row r="1243" ht="14.25" customHeight="1">
      <c r="G1243" s="3" t="s">
        <v>1286</v>
      </c>
    </row>
    <row r="1244" ht="14.25" customHeight="1">
      <c r="G1244" s="3" t="s">
        <v>1287</v>
      </c>
    </row>
    <row r="1245" ht="14.25" customHeight="1">
      <c r="G1245" s="3" t="s">
        <v>1288</v>
      </c>
    </row>
    <row r="1246" ht="14.25" customHeight="1">
      <c r="G1246" s="3" t="s">
        <v>1289</v>
      </c>
    </row>
    <row r="1247" ht="14.25" customHeight="1">
      <c r="G1247" s="3" t="s">
        <v>1290</v>
      </c>
    </row>
    <row r="1248" ht="14.25" customHeight="1">
      <c r="G1248" s="3" t="s">
        <v>1291</v>
      </c>
    </row>
    <row r="1249" ht="14.25" customHeight="1">
      <c r="G1249" s="3" t="s">
        <v>1292</v>
      </c>
    </row>
    <row r="1250" ht="14.25" customHeight="1">
      <c r="G1250" s="3" t="s">
        <v>1293</v>
      </c>
    </row>
    <row r="1251" ht="14.25" customHeight="1">
      <c r="G1251" s="3" t="s">
        <v>1294</v>
      </c>
    </row>
    <row r="1252" ht="14.25" customHeight="1">
      <c r="G1252" s="3" t="s">
        <v>1295</v>
      </c>
    </row>
    <row r="1253" ht="14.25" customHeight="1">
      <c r="G1253" s="3" t="s">
        <v>1296</v>
      </c>
    </row>
    <row r="1254" ht="14.25" customHeight="1">
      <c r="G1254" s="3" t="s">
        <v>1297</v>
      </c>
    </row>
    <row r="1255" ht="14.25" customHeight="1">
      <c r="G1255" s="3" t="s">
        <v>1298</v>
      </c>
    </row>
    <row r="1256" ht="14.25" customHeight="1">
      <c r="G1256" s="3" t="s">
        <v>1299</v>
      </c>
    </row>
    <row r="1257" ht="14.25" customHeight="1">
      <c r="G1257" s="3" t="s">
        <v>1300</v>
      </c>
    </row>
    <row r="1258" ht="14.25" customHeight="1">
      <c r="G1258" s="3" t="s">
        <v>1301</v>
      </c>
    </row>
    <row r="1259" ht="14.25" customHeight="1">
      <c r="G1259" s="3" t="s">
        <v>1302</v>
      </c>
    </row>
    <row r="1260" ht="14.25" customHeight="1">
      <c r="G1260" s="3" t="s">
        <v>1303</v>
      </c>
    </row>
    <row r="1261" ht="14.25" customHeight="1">
      <c r="G1261" s="3" t="s">
        <v>1304</v>
      </c>
    </row>
    <row r="1262" ht="14.25" customHeight="1">
      <c r="G1262" s="3" t="s">
        <v>1305</v>
      </c>
    </row>
    <row r="1263" ht="14.25" customHeight="1">
      <c r="G1263" s="3" t="s">
        <v>1306</v>
      </c>
    </row>
    <row r="1264" ht="14.25" customHeight="1">
      <c r="G1264" s="3" t="s">
        <v>1307</v>
      </c>
    </row>
    <row r="1265" ht="14.25" customHeight="1">
      <c r="G1265" s="3" t="s">
        <v>1308</v>
      </c>
    </row>
    <row r="1266" ht="14.25" customHeight="1">
      <c r="G1266" s="3" t="s">
        <v>1309</v>
      </c>
    </row>
    <row r="1267" ht="14.25" customHeight="1">
      <c r="G1267" s="3" t="s">
        <v>1310</v>
      </c>
    </row>
    <row r="1268" ht="14.25" customHeight="1">
      <c r="G1268" s="3" t="s">
        <v>1311</v>
      </c>
    </row>
    <row r="1269" ht="14.25" customHeight="1">
      <c r="G1269" s="3" t="s">
        <v>1312</v>
      </c>
    </row>
    <row r="1270" ht="14.25" customHeight="1">
      <c r="G1270" s="3" t="s">
        <v>1313</v>
      </c>
    </row>
    <row r="1271" ht="14.25" customHeight="1">
      <c r="G1271" s="3" t="s">
        <v>1314</v>
      </c>
    </row>
    <row r="1272" ht="14.25" customHeight="1">
      <c r="G1272" s="3" t="s">
        <v>1315</v>
      </c>
    </row>
    <row r="1273" ht="14.25" customHeight="1">
      <c r="G1273" s="3" t="s">
        <v>1316</v>
      </c>
    </row>
    <row r="1274" ht="14.25" customHeight="1">
      <c r="G1274" s="3" t="s">
        <v>1317</v>
      </c>
    </row>
    <row r="1275" ht="14.25" customHeight="1">
      <c r="G1275" s="3" t="s">
        <v>1318</v>
      </c>
    </row>
    <row r="1276" ht="14.25" customHeight="1">
      <c r="G1276" s="3" t="s">
        <v>1319</v>
      </c>
    </row>
    <row r="1277" ht="14.25" customHeight="1">
      <c r="G1277" s="3" t="s">
        <v>1320</v>
      </c>
    </row>
    <row r="1278" ht="14.25" customHeight="1">
      <c r="G1278" s="3" t="s">
        <v>1321</v>
      </c>
    </row>
    <row r="1279" ht="14.25" customHeight="1">
      <c r="G1279" s="3" t="s">
        <v>1322</v>
      </c>
    </row>
    <row r="1280" ht="14.25" customHeight="1">
      <c r="G1280" s="3" t="s">
        <v>1323</v>
      </c>
    </row>
    <row r="1281" ht="14.25" customHeight="1">
      <c r="G1281" s="3" t="s">
        <v>1324</v>
      </c>
    </row>
    <row r="1282" ht="14.25" customHeight="1">
      <c r="G1282" s="3" t="s">
        <v>1325</v>
      </c>
    </row>
    <row r="1283" ht="14.25" customHeight="1">
      <c r="G1283" s="3" t="s">
        <v>1326</v>
      </c>
    </row>
    <row r="1284" ht="14.25" customHeight="1">
      <c r="G1284" s="3" t="s">
        <v>1327</v>
      </c>
    </row>
    <row r="1285" ht="14.25" customHeight="1">
      <c r="G1285" s="3" t="s">
        <v>1328</v>
      </c>
    </row>
    <row r="1286" ht="14.25" customHeight="1">
      <c r="G1286" s="3" t="s">
        <v>1329</v>
      </c>
    </row>
    <row r="1287" ht="14.25" customHeight="1">
      <c r="G1287" s="3" t="s">
        <v>1330</v>
      </c>
    </row>
    <row r="1288" ht="14.25" customHeight="1">
      <c r="G1288" s="3" t="s">
        <v>1331</v>
      </c>
    </row>
    <row r="1289" ht="14.25" customHeight="1">
      <c r="G1289" s="3" t="s">
        <v>1332</v>
      </c>
    </row>
    <row r="1290" ht="14.25" customHeight="1">
      <c r="G1290" s="3" t="s">
        <v>1333</v>
      </c>
    </row>
    <row r="1291" ht="14.25" customHeight="1">
      <c r="G1291" s="3" t="s">
        <v>1334</v>
      </c>
    </row>
    <row r="1292" ht="14.25" customHeight="1">
      <c r="G1292" s="3" t="s">
        <v>1335</v>
      </c>
    </row>
    <row r="1293" ht="14.25" customHeight="1">
      <c r="G1293" s="3" t="s">
        <v>1336</v>
      </c>
    </row>
    <row r="1294" ht="14.25" customHeight="1">
      <c r="G1294" s="3" t="s">
        <v>1337</v>
      </c>
    </row>
    <row r="1295" ht="14.25" customHeight="1">
      <c r="G1295" s="3" t="s">
        <v>1338</v>
      </c>
    </row>
    <row r="1296" ht="14.25" customHeight="1">
      <c r="G1296" s="3" t="s">
        <v>1339</v>
      </c>
    </row>
    <row r="1297" ht="14.25" customHeight="1">
      <c r="G1297" s="3" t="s">
        <v>1340</v>
      </c>
    </row>
    <row r="1298" ht="14.25" customHeight="1">
      <c r="G1298" s="3" t="s">
        <v>1341</v>
      </c>
    </row>
    <row r="1299" ht="14.25" customHeight="1">
      <c r="G1299" s="3" t="s">
        <v>1342</v>
      </c>
    </row>
    <row r="1300" ht="14.25" customHeight="1">
      <c r="G1300" s="3" t="s">
        <v>1343</v>
      </c>
    </row>
    <row r="1301" ht="14.25" customHeight="1">
      <c r="G1301" s="3" t="s">
        <v>1344</v>
      </c>
    </row>
    <row r="1302" ht="14.25" customHeight="1">
      <c r="G1302" s="3" t="s">
        <v>1345</v>
      </c>
    </row>
    <row r="1303" ht="14.25" customHeight="1">
      <c r="G1303" s="3" t="s">
        <v>1346</v>
      </c>
    </row>
    <row r="1304" ht="14.25" customHeight="1">
      <c r="G1304" s="3" t="s">
        <v>1347</v>
      </c>
    </row>
    <row r="1305" ht="14.25" customHeight="1">
      <c r="G1305" s="3" t="s">
        <v>1348</v>
      </c>
    </row>
    <row r="1306" ht="14.25" customHeight="1">
      <c r="G1306" s="3" t="s">
        <v>1349</v>
      </c>
    </row>
    <row r="1307" ht="14.25" customHeight="1">
      <c r="G1307" s="3" t="s">
        <v>1350</v>
      </c>
    </row>
    <row r="1308" ht="14.25" customHeight="1">
      <c r="G1308" s="3" t="s">
        <v>1351</v>
      </c>
    </row>
    <row r="1309" ht="14.25" customHeight="1">
      <c r="G1309" s="3" t="s">
        <v>1352</v>
      </c>
    </row>
    <row r="1310" ht="14.25" customHeight="1">
      <c r="G1310" s="3" t="s">
        <v>1353</v>
      </c>
    </row>
    <row r="1311" ht="14.25" customHeight="1">
      <c r="G1311" s="3" t="s">
        <v>1354</v>
      </c>
    </row>
    <row r="1312" ht="14.25" customHeight="1">
      <c r="G1312" s="3" t="s">
        <v>1355</v>
      </c>
    </row>
    <row r="1313" ht="14.25" customHeight="1">
      <c r="G1313" s="3" t="s">
        <v>1356</v>
      </c>
    </row>
    <row r="1314" ht="14.25" customHeight="1">
      <c r="G1314" s="3" t="s">
        <v>1357</v>
      </c>
    </row>
    <row r="1315" ht="14.25" customHeight="1">
      <c r="G1315" s="3" t="s">
        <v>1358</v>
      </c>
    </row>
    <row r="1316" ht="14.25" customHeight="1">
      <c r="G1316" s="3" t="s">
        <v>1359</v>
      </c>
    </row>
    <row r="1317" ht="14.25" customHeight="1">
      <c r="G1317" s="3" t="s">
        <v>1360</v>
      </c>
    </row>
    <row r="1318" ht="14.25" customHeight="1">
      <c r="G1318" s="3" t="s">
        <v>1361</v>
      </c>
    </row>
    <row r="1319" ht="14.25" customHeight="1">
      <c r="G1319" s="3" t="s">
        <v>1362</v>
      </c>
    </row>
    <row r="1320" ht="14.25" customHeight="1">
      <c r="G1320" s="3" t="s">
        <v>1363</v>
      </c>
    </row>
    <row r="1321" ht="14.25" customHeight="1">
      <c r="G1321" s="3" t="s">
        <v>1364</v>
      </c>
    </row>
    <row r="1322" ht="14.25" customHeight="1">
      <c r="G1322" s="3" t="s">
        <v>1365</v>
      </c>
    </row>
    <row r="1323" ht="14.25" customHeight="1">
      <c r="G1323" s="3" t="s">
        <v>1366</v>
      </c>
    </row>
    <row r="1324" ht="14.25" customHeight="1">
      <c r="G1324" s="3" t="s">
        <v>1367</v>
      </c>
    </row>
    <row r="1325" ht="14.25" customHeight="1">
      <c r="G1325" s="3" t="s">
        <v>1368</v>
      </c>
    </row>
    <row r="1326" ht="14.25" customHeight="1">
      <c r="G1326" s="3" t="s">
        <v>1369</v>
      </c>
    </row>
    <row r="1327" ht="14.25" customHeight="1">
      <c r="G1327" s="3" t="s">
        <v>1370</v>
      </c>
    </row>
    <row r="1328" ht="14.25" customHeight="1">
      <c r="G1328" s="3" t="s">
        <v>1371</v>
      </c>
    </row>
    <row r="1329" ht="14.25" customHeight="1">
      <c r="G1329" s="3" t="s">
        <v>1372</v>
      </c>
    </row>
    <row r="1330" ht="14.25" customHeight="1">
      <c r="G1330" s="3" t="s">
        <v>1373</v>
      </c>
    </row>
    <row r="1331" ht="14.25" customHeight="1">
      <c r="G1331" s="3" t="s">
        <v>1374</v>
      </c>
    </row>
    <row r="1332" ht="14.25" customHeight="1">
      <c r="G1332" s="3" t="s">
        <v>1375</v>
      </c>
    </row>
    <row r="1333" ht="14.25" customHeight="1">
      <c r="G1333" s="3" t="s">
        <v>1376</v>
      </c>
    </row>
    <row r="1334" ht="14.25" customHeight="1">
      <c r="G1334" s="3" t="s">
        <v>1377</v>
      </c>
    </row>
    <row r="1335" ht="14.25" customHeight="1">
      <c r="G1335" s="3" t="s">
        <v>1378</v>
      </c>
    </row>
    <row r="1336" ht="14.25" customHeight="1">
      <c r="G1336" s="3" t="s">
        <v>1379</v>
      </c>
    </row>
    <row r="1337" ht="14.25" customHeight="1">
      <c r="G1337" s="3" t="s">
        <v>1380</v>
      </c>
    </row>
    <row r="1338" ht="14.25" customHeight="1">
      <c r="G1338" s="3" t="s">
        <v>1381</v>
      </c>
    </row>
    <row r="1339" ht="14.25" customHeight="1">
      <c r="G1339" s="3" t="s">
        <v>1382</v>
      </c>
    </row>
    <row r="1340" ht="14.25" customHeight="1">
      <c r="G1340" s="3" t="s">
        <v>1383</v>
      </c>
    </row>
    <row r="1341" ht="14.25" customHeight="1">
      <c r="G1341" s="3" t="s">
        <v>1384</v>
      </c>
    </row>
    <row r="1342" ht="14.25" customHeight="1">
      <c r="G1342" s="3" t="s">
        <v>1385</v>
      </c>
    </row>
    <row r="1343" ht="14.25" customHeight="1">
      <c r="G1343" s="3" t="s">
        <v>1386</v>
      </c>
    </row>
    <row r="1344" ht="14.25" customHeight="1">
      <c r="G1344" s="3" t="s">
        <v>1387</v>
      </c>
    </row>
    <row r="1345" ht="14.25" customHeight="1">
      <c r="G1345" s="3" t="s">
        <v>1388</v>
      </c>
    </row>
    <row r="1346" ht="14.25" customHeight="1">
      <c r="G1346" s="3" t="s">
        <v>1389</v>
      </c>
    </row>
    <row r="1347" ht="14.25" customHeight="1">
      <c r="G1347" s="3" t="s">
        <v>1390</v>
      </c>
    </row>
    <row r="1348" ht="14.25" customHeight="1">
      <c r="G1348" s="3" t="s">
        <v>1391</v>
      </c>
    </row>
    <row r="1349" ht="14.25" customHeight="1">
      <c r="G1349" s="3" t="s">
        <v>1392</v>
      </c>
    </row>
    <row r="1350" ht="14.25" customHeight="1">
      <c r="G1350" s="3" t="s">
        <v>1393</v>
      </c>
    </row>
    <row r="1351" ht="14.25" customHeight="1">
      <c r="G1351" s="3" t="s">
        <v>1394</v>
      </c>
    </row>
    <row r="1352" ht="14.25" customHeight="1">
      <c r="G1352" s="3" t="s">
        <v>1395</v>
      </c>
    </row>
    <row r="1353" ht="14.25" customHeight="1">
      <c r="G1353" s="3" t="s">
        <v>1396</v>
      </c>
    </row>
    <row r="1354" ht="14.25" customHeight="1">
      <c r="G1354" s="3" t="s">
        <v>1397</v>
      </c>
    </row>
    <row r="1355" ht="14.25" customHeight="1">
      <c r="G1355" s="3" t="s">
        <v>1398</v>
      </c>
    </row>
    <row r="1356" ht="14.25" customHeight="1">
      <c r="G1356" s="3" t="s">
        <v>1399</v>
      </c>
    </row>
    <row r="1357" ht="14.25" customHeight="1">
      <c r="G1357" s="3" t="s">
        <v>1400</v>
      </c>
    </row>
    <row r="1358" ht="14.25" customHeight="1">
      <c r="G1358" s="3" t="s">
        <v>1401</v>
      </c>
    </row>
    <row r="1359" ht="14.25" customHeight="1">
      <c r="G1359" s="3" t="s">
        <v>1402</v>
      </c>
    </row>
    <row r="1360" ht="14.25" customHeight="1">
      <c r="G1360" s="3" t="s">
        <v>1403</v>
      </c>
    </row>
    <row r="1361" ht="14.25" customHeight="1">
      <c r="G1361" s="3" t="s">
        <v>1404</v>
      </c>
    </row>
    <row r="1362" ht="14.25" customHeight="1">
      <c r="G1362" s="3" t="s">
        <v>1405</v>
      </c>
    </row>
    <row r="1363" ht="14.25" customHeight="1">
      <c r="G1363" s="3" t="s">
        <v>1406</v>
      </c>
    </row>
    <row r="1364" ht="14.25" customHeight="1">
      <c r="G1364" s="3" t="s">
        <v>1407</v>
      </c>
    </row>
    <row r="1365" ht="14.25" customHeight="1">
      <c r="G1365" s="3" t="s">
        <v>1408</v>
      </c>
    </row>
    <row r="1366" ht="14.25" customHeight="1">
      <c r="G1366" s="3" t="s">
        <v>1409</v>
      </c>
    </row>
    <row r="1367" ht="14.25" customHeight="1">
      <c r="G1367" s="3" t="s">
        <v>1410</v>
      </c>
    </row>
    <row r="1368" ht="14.25" customHeight="1">
      <c r="G1368" s="3" t="s">
        <v>1411</v>
      </c>
    </row>
    <row r="1369" ht="14.25" customHeight="1">
      <c r="G1369" s="3" t="s">
        <v>1412</v>
      </c>
    </row>
    <row r="1370" ht="14.25" customHeight="1">
      <c r="G1370" s="3" t="s">
        <v>1413</v>
      </c>
    </row>
    <row r="1371" ht="14.25" customHeight="1">
      <c r="G1371" s="3" t="s">
        <v>1414</v>
      </c>
    </row>
    <row r="1372" ht="14.25" customHeight="1">
      <c r="G1372" s="3" t="s">
        <v>1415</v>
      </c>
    </row>
    <row r="1373" ht="14.25" customHeight="1">
      <c r="G1373" s="3" t="s">
        <v>1416</v>
      </c>
    </row>
    <row r="1374" ht="14.25" customHeight="1">
      <c r="G1374" s="3" t="s">
        <v>1417</v>
      </c>
    </row>
    <row r="1375" ht="14.25" customHeight="1">
      <c r="G1375" s="3" t="s">
        <v>1418</v>
      </c>
    </row>
    <row r="1376" ht="14.25" customHeight="1">
      <c r="G1376" s="3" t="s">
        <v>1419</v>
      </c>
    </row>
    <row r="1377" ht="14.25" customHeight="1">
      <c r="G1377" s="3" t="s">
        <v>1420</v>
      </c>
    </row>
    <row r="1378" ht="14.25" customHeight="1">
      <c r="G1378" s="3" t="s">
        <v>1421</v>
      </c>
    </row>
    <row r="1379" ht="14.25" customHeight="1">
      <c r="G1379" s="3" t="s">
        <v>1422</v>
      </c>
    </row>
    <row r="1380" ht="14.25" customHeight="1">
      <c r="G1380" s="3" t="s">
        <v>1423</v>
      </c>
    </row>
    <row r="1381" ht="14.25" customHeight="1">
      <c r="G1381" s="3" t="s">
        <v>1424</v>
      </c>
    </row>
    <row r="1382" ht="14.25" customHeight="1">
      <c r="G1382" s="3" t="s">
        <v>1425</v>
      </c>
    </row>
    <row r="1383" ht="14.25" customHeight="1">
      <c r="G1383" s="3" t="s">
        <v>1426</v>
      </c>
    </row>
    <row r="1384" ht="14.25" customHeight="1">
      <c r="G1384" s="3" t="s">
        <v>1427</v>
      </c>
    </row>
    <row r="1385" ht="14.25" customHeight="1">
      <c r="G1385" s="3" t="s">
        <v>1428</v>
      </c>
    </row>
    <row r="1386" ht="14.25" customHeight="1">
      <c r="G1386" s="3" t="s">
        <v>1429</v>
      </c>
    </row>
    <row r="1387" ht="14.25" customHeight="1">
      <c r="G1387" s="3" t="s">
        <v>1430</v>
      </c>
    </row>
    <row r="1388" ht="14.25" customHeight="1">
      <c r="G1388" s="3" t="s">
        <v>1431</v>
      </c>
    </row>
    <row r="1389" ht="14.25" customHeight="1">
      <c r="G1389" s="3" t="s">
        <v>1432</v>
      </c>
    </row>
    <row r="1390" ht="14.25" customHeight="1">
      <c r="G1390" s="3" t="s">
        <v>1433</v>
      </c>
    </row>
    <row r="1391" ht="14.25" customHeight="1">
      <c r="G1391" s="3" t="s">
        <v>1434</v>
      </c>
    </row>
    <row r="1392" ht="14.25" customHeight="1">
      <c r="G1392" s="3" t="s">
        <v>1435</v>
      </c>
    </row>
    <row r="1393" ht="14.25" customHeight="1">
      <c r="G1393" s="3" t="s">
        <v>1436</v>
      </c>
    </row>
    <row r="1394" ht="14.25" customHeight="1">
      <c r="G1394" s="3" t="s">
        <v>1437</v>
      </c>
    </row>
    <row r="1395" ht="14.25" customHeight="1">
      <c r="G1395" s="3" t="s">
        <v>1438</v>
      </c>
    </row>
    <row r="1396" ht="14.25" customHeight="1">
      <c r="G1396" s="3" t="s">
        <v>1439</v>
      </c>
    </row>
    <row r="1397" ht="14.25" customHeight="1">
      <c r="G1397" s="3" t="s">
        <v>1440</v>
      </c>
    </row>
    <row r="1398" ht="14.25" customHeight="1">
      <c r="G1398" s="3" t="s">
        <v>1441</v>
      </c>
    </row>
    <row r="1399" ht="14.25" customHeight="1">
      <c r="G1399" s="3" t="s">
        <v>1442</v>
      </c>
    </row>
    <row r="1400" ht="14.25" customHeight="1">
      <c r="G1400" s="3" t="s">
        <v>1443</v>
      </c>
    </row>
    <row r="1401" ht="14.25" customHeight="1">
      <c r="G1401" s="3" t="s">
        <v>1444</v>
      </c>
    </row>
    <row r="1402" ht="14.25" customHeight="1">
      <c r="G1402" s="3" t="s">
        <v>1445</v>
      </c>
    </row>
    <row r="1403" ht="14.25" customHeight="1">
      <c r="G1403" s="3" t="s">
        <v>1446</v>
      </c>
    </row>
    <row r="1404" ht="14.25" customHeight="1">
      <c r="G1404" s="3" t="s">
        <v>1447</v>
      </c>
    </row>
    <row r="1405" ht="14.25" customHeight="1">
      <c r="G1405" s="3" t="s">
        <v>1448</v>
      </c>
    </row>
    <row r="1406" ht="14.25" customHeight="1">
      <c r="G1406" s="3" t="s">
        <v>1449</v>
      </c>
    </row>
    <row r="1407" ht="14.25" customHeight="1">
      <c r="G1407" s="3" t="s">
        <v>1450</v>
      </c>
    </row>
    <row r="1408" ht="14.25" customHeight="1">
      <c r="G1408" s="3" t="s">
        <v>1451</v>
      </c>
    </row>
    <row r="1409" ht="14.25" customHeight="1">
      <c r="G1409" s="3" t="s">
        <v>1452</v>
      </c>
    </row>
    <row r="1410" ht="14.25" customHeight="1">
      <c r="G1410" s="3" t="s">
        <v>1453</v>
      </c>
    </row>
    <row r="1411" ht="14.25" customHeight="1">
      <c r="G1411" s="3" t="s">
        <v>1454</v>
      </c>
    </row>
    <row r="1412" ht="14.25" customHeight="1">
      <c r="G1412" s="3" t="s">
        <v>1455</v>
      </c>
    </row>
    <row r="1413" ht="14.25" customHeight="1">
      <c r="G1413" s="3" t="s">
        <v>1456</v>
      </c>
    </row>
    <row r="1414" ht="14.25" customHeight="1">
      <c r="G1414" s="3" t="s">
        <v>1457</v>
      </c>
    </row>
    <row r="1415" ht="14.25" customHeight="1">
      <c r="G1415" s="3" t="s">
        <v>1458</v>
      </c>
    </row>
    <row r="1416" ht="14.25" customHeight="1">
      <c r="G1416" s="3" t="s">
        <v>1459</v>
      </c>
    </row>
    <row r="1417" ht="14.25" customHeight="1">
      <c r="G1417" s="3" t="s">
        <v>1460</v>
      </c>
    </row>
    <row r="1418" ht="14.25" customHeight="1">
      <c r="G1418" s="3" t="s">
        <v>1461</v>
      </c>
    </row>
    <row r="1419" ht="14.25" customHeight="1">
      <c r="G1419" s="3" t="s">
        <v>1462</v>
      </c>
    </row>
    <row r="1420" ht="14.25" customHeight="1">
      <c r="G1420" s="3" t="s">
        <v>1463</v>
      </c>
    </row>
    <row r="1421" ht="14.25" customHeight="1">
      <c r="G1421" s="3" t="s">
        <v>1464</v>
      </c>
    </row>
    <row r="1422" ht="14.25" customHeight="1">
      <c r="G1422" s="3" t="s">
        <v>1465</v>
      </c>
    </row>
    <row r="1423" ht="14.25" customHeight="1">
      <c r="G1423" s="3" t="s">
        <v>1466</v>
      </c>
    </row>
    <row r="1424" ht="14.25" customHeight="1">
      <c r="G1424" s="3" t="s">
        <v>1467</v>
      </c>
    </row>
    <row r="1425" ht="14.25" customHeight="1">
      <c r="G1425" s="3" t="s">
        <v>1468</v>
      </c>
    </row>
    <row r="1426" ht="14.25" customHeight="1">
      <c r="G1426" s="3" t="s">
        <v>1469</v>
      </c>
    </row>
    <row r="1427" ht="14.25" customHeight="1">
      <c r="G1427" s="3" t="s">
        <v>1470</v>
      </c>
    </row>
    <row r="1428" ht="14.25" customHeight="1">
      <c r="G1428" s="3" t="s">
        <v>1471</v>
      </c>
    </row>
    <row r="1429" ht="14.25" customHeight="1">
      <c r="G1429" s="3" t="s">
        <v>1472</v>
      </c>
    </row>
    <row r="1430" ht="14.25" customHeight="1">
      <c r="G1430" s="3" t="s">
        <v>1473</v>
      </c>
    </row>
    <row r="1431" ht="14.25" customHeight="1">
      <c r="G1431" s="3" t="s">
        <v>1474</v>
      </c>
    </row>
    <row r="1432" ht="14.25" customHeight="1">
      <c r="G1432" s="3" t="s">
        <v>1475</v>
      </c>
    </row>
    <row r="1433" ht="14.25" customHeight="1">
      <c r="G1433" s="3" t="s">
        <v>1476</v>
      </c>
    </row>
    <row r="1434" ht="14.25" customHeight="1">
      <c r="G1434" s="3" t="s">
        <v>1477</v>
      </c>
    </row>
    <row r="1435" ht="14.25" customHeight="1">
      <c r="G1435" s="3" t="s">
        <v>1478</v>
      </c>
    </row>
    <row r="1436" ht="14.25" customHeight="1">
      <c r="G1436" s="3" t="s">
        <v>1479</v>
      </c>
    </row>
    <row r="1437" ht="14.25" customHeight="1">
      <c r="G1437" s="3" t="s">
        <v>1480</v>
      </c>
    </row>
    <row r="1438" ht="14.25" customHeight="1">
      <c r="G1438" s="3" t="s">
        <v>1481</v>
      </c>
    </row>
    <row r="1439" ht="14.25" customHeight="1">
      <c r="G1439" s="3" t="s">
        <v>1482</v>
      </c>
    </row>
    <row r="1440" ht="14.25" customHeight="1">
      <c r="G1440" s="3" t="s">
        <v>1483</v>
      </c>
    </row>
    <row r="1441" ht="14.25" customHeight="1">
      <c r="G1441" s="3" t="s">
        <v>1484</v>
      </c>
    </row>
    <row r="1442" ht="14.25" customHeight="1">
      <c r="G1442" s="3" t="s">
        <v>1485</v>
      </c>
    </row>
    <row r="1443" ht="14.25" customHeight="1">
      <c r="G1443" s="3" t="s">
        <v>1486</v>
      </c>
    </row>
    <row r="1444" ht="14.25" customHeight="1">
      <c r="G1444" s="3" t="s">
        <v>1487</v>
      </c>
    </row>
    <row r="1445" ht="14.25" customHeight="1">
      <c r="G1445" s="3" t="s">
        <v>1488</v>
      </c>
    </row>
    <row r="1446" ht="14.25" customHeight="1">
      <c r="G1446" s="3" t="s">
        <v>1489</v>
      </c>
    </row>
    <row r="1447" ht="14.25" customHeight="1">
      <c r="G1447" s="3" t="s">
        <v>1490</v>
      </c>
    </row>
    <row r="1448" ht="14.25" customHeight="1">
      <c r="G1448" s="3" t="s">
        <v>1491</v>
      </c>
    </row>
    <row r="1449" ht="14.25" customHeight="1">
      <c r="G1449" s="3" t="s">
        <v>1492</v>
      </c>
    </row>
    <row r="1450" ht="14.25" customHeight="1">
      <c r="G1450" s="3" t="s">
        <v>1493</v>
      </c>
    </row>
    <row r="1451" ht="14.25" customHeight="1">
      <c r="G1451" s="3" t="s">
        <v>1494</v>
      </c>
    </row>
    <row r="1452" ht="14.25" customHeight="1">
      <c r="G1452" s="3" t="s">
        <v>1495</v>
      </c>
    </row>
    <row r="1453" ht="14.25" customHeight="1">
      <c r="G1453" s="3" t="s">
        <v>1496</v>
      </c>
    </row>
    <row r="1454" ht="14.25" customHeight="1">
      <c r="G1454" s="3" t="s">
        <v>1497</v>
      </c>
    </row>
    <row r="1455" ht="14.25" customHeight="1">
      <c r="G1455" s="3" t="s">
        <v>1498</v>
      </c>
    </row>
    <row r="1456" ht="14.25" customHeight="1">
      <c r="G1456" s="3" t="s">
        <v>1499</v>
      </c>
    </row>
    <row r="1457" ht="14.25" customHeight="1">
      <c r="G1457" s="3" t="s">
        <v>1500</v>
      </c>
    </row>
    <row r="1458" ht="14.25" customHeight="1">
      <c r="G1458" s="3" t="s">
        <v>1501</v>
      </c>
    </row>
    <row r="1459" ht="14.25" customHeight="1">
      <c r="G1459" s="3" t="s">
        <v>1502</v>
      </c>
    </row>
    <row r="1460" ht="14.25" customHeight="1">
      <c r="G1460" s="3" t="s">
        <v>1503</v>
      </c>
    </row>
    <row r="1461" ht="14.25" customHeight="1">
      <c r="G1461" s="3" t="s">
        <v>1504</v>
      </c>
    </row>
    <row r="1462" ht="14.25" customHeight="1">
      <c r="G1462" s="3" t="s">
        <v>1505</v>
      </c>
    </row>
    <row r="1463" ht="14.25" customHeight="1">
      <c r="G1463" s="3" t="s">
        <v>1506</v>
      </c>
    </row>
    <row r="1464" ht="14.25" customHeight="1">
      <c r="G1464" s="3" t="s">
        <v>1507</v>
      </c>
    </row>
    <row r="1465" ht="14.25" customHeight="1">
      <c r="G1465" s="3" t="s">
        <v>1508</v>
      </c>
    </row>
    <row r="1466" ht="14.25" customHeight="1">
      <c r="G1466" s="3" t="s">
        <v>1509</v>
      </c>
    </row>
    <row r="1467" ht="14.25" customHeight="1">
      <c r="G1467" s="3" t="s">
        <v>1510</v>
      </c>
    </row>
    <row r="1468" ht="14.25" customHeight="1">
      <c r="G1468" s="3" t="s">
        <v>1511</v>
      </c>
    </row>
    <row r="1469" ht="14.25" customHeight="1">
      <c r="G1469" s="3" t="s">
        <v>1512</v>
      </c>
    </row>
    <row r="1470" ht="14.25" customHeight="1">
      <c r="G1470" s="3" t="s">
        <v>1513</v>
      </c>
    </row>
    <row r="1471" ht="14.25" customHeight="1">
      <c r="G1471" s="3" t="s">
        <v>1514</v>
      </c>
    </row>
    <row r="1472" ht="14.25" customHeight="1">
      <c r="G1472" s="3" t="s">
        <v>1515</v>
      </c>
    </row>
    <row r="1473" ht="14.25" customHeight="1">
      <c r="G1473" s="3" t="s">
        <v>1516</v>
      </c>
    </row>
    <row r="1474" ht="14.25" customHeight="1">
      <c r="G1474" s="3" t="s">
        <v>1517</v>
      </c>
    </row>
    <row r="1475" ht="14.25" customHeight="1">
      <c r="G1475" s="3" t="s">
        <v>1518</v>
      </c>
    </row>
    <row r="1476" ht="14.25" customHeight="1">
      <c r="G1476" s="3" t="s">
        <v>1519</v>
      </c>
    </row>
    <row r="1477" ht="14.25" customHeight="1">
      <c r="G1477" s="3" t="s">
        <v>1520</v>
      </c>
    </row>
    <row r="1478" ht="14.25" customHeight="1">
      <c r="G1478" s="3" t="s">
        <v>1521</v>
      </c>
    </row>
    <row r="1479" ht="14.25" customHeight="1">
      <c r="G1479" s="3" t="s">
        <v>1522</v>
      </c>
    </row>
    <row r="1480" ht="14.25" customHeight="1">
      <c r="G1480" s="3" t="s">
        <v>1523</v>
      </c>
    </row>
    <row r="1481" ht="14.25" customHeight="1">
      <c r="G1481" s="3" t="s">
        <v>1524</v>
      </c>
    </row>
    <row r="1482" ht="14.25" customHeight="1">
      <c r="G1482" s="3" t="s">
        <v>1525</v>
      </c>
    </row>
    <row r="1483" ht="14.25" customHeight="1">
      <c r="G1483" s="3" t="s">
        <v>1526</v>
      </c>
    </row>
    <row r="1484" ht="14.25" customHeight="1">
      <c r="G1484" s="3" t="s">
        <v>1527</v>
      </c>
    </row>
    <row r="1485" ht="14.25" customHeight="1">
      <c r="G1485" s="3" t="s">
        <v>1528</v>
      </c>
    </row>
    <row r="1486" ht="14.25" customHeight="1">
      <c r="G1486" s="3" t="s">
        <v>1529</v>
      </c>
    </row>
    <row r="1487" ht="14.25" customHeight="1">
      <c r="G1487" s="3" t="s">
        <v>1530</v>
      </c>
    </row>
    <row r="1488" ht="14.25" customHeight="1">
      <c r="G1488" s="3" t="s">
        <v>1531</v>
      </c>
    </row>
    <row r="1489" ht="14.25" customHeight="1">
      <c r="G1489" s="3" t="s">
        <v>1532</v>
      </c>
    </row>
    <row r="1490" ht="14.25" customHeight="1">
      <c r="G1490" s="3" t="s">
        <v>1533</v>
      </c>
    </row>
    <row r="1491" ht="14.25" customHeight="1">
      <c r="G1491" s="3" t="s">
        <v>1534</v>
      </c>
    </row>
    <row r="1492" ht="14.25" customHeight="1">
      <c r="G1492" s="3" t="s">
        <v>1535</v>
      </c>
    </row>
    <row r="1493" ht="14.25" customHeight="1">
      <c r="G1493" s="3" t="s">
        <v>1536</v>
      </c>
    </row>
    <row r="1494" ht="14.25" customHeight="1">
      <c r="G1494" s="3" t="s">
        <v>1537</v>
      </c>
    </row>
    <row r="1495" ht="14.25" customHeight="1">
      <c r="G1495" s="3" t="s">
        <v>1538</v>
      </c>
    </row>
    <row r="1496" ht="14.25" customHeight="1">
      <c r="G1496" s="3" t="s">
        <v>1539</v>
      </c>
    </row>
    <row r="1497" ht="14.25" customHeight="1">
      <c r="G1497" s="3" t="s">
        <v>1540</v>
      </c>
    </row>
    <row r="1498" ht="14.25" customHeight="1">
      <c r="G1498" s="3" t="s">
        <v>1541</v>
      </c>
    </row>
    <row r="1499" ht="14.25" customHeight="1">
      <c r="G1499" s="3" t="s">
        <v>1542</v>
      </c>
    </row>
    <row r="1500" ht="14.25" customHeight="1">
      <c r="G1500" s="3" t="s">
        <v>1543</v>
      </c>
    </row>
    <row r="1501" ht="14.25" customHeight="1">
      <c r="G1501" s="3" t="s">
        <v>1544</v>
      </c>
    </row>
    <row r="1502" ht="14.25" customHeight="1">
      <c r="G1502" s="3" t="s">
        <v>1545</v>
      </c>
    </row>
    <row r="1503" ht="14.25" customHeight="1">
      <c r="G1503" s="3" t="s">
        <v>1546</v>
      </c>
    </row>
    <row r="1504" ht="14.25" customHeight="1">
      <c r="G1504" s="3" t="s">
        <v>1547</v>
      </c>
    </row>
    <row r="1505" ht="14.25" customHeight="1">
      <c r="G1505" s="3" t="s">
        <v>1548</v>
      </c>
    </row>
    <row r="1506" ht="14.25" customHeight="1">
      <c r="G1506" s="3" t="s">
        <v>1549</v>
      </c>
    </row>
    <row r="1507" ht="14.25" customHeight="1">
      <c r="G1507" s="3" t="s">
        <v>1550</v>
      </c>
    </row>
    <row r="1508" ht="14.25" customHeight="1">
      <c r="G1508" s="3" t="s">
        <v>1551</v>
      </c>
    </row>
    <row r="1509" ht="14.25" customHeight="1">
      <c r="G1509" s="3" t="s">
        <v>1552</v>
      </c>
    </row>
    <row r="1510" ht="14.25" customHeight="1">
      <c r="G1510" s="3" t="s">
        <v>1553</v>
      </c>
    </row>
    <row r="1511" ht="14.25" customHeight="1">
      <c r="G1511" s="3" t="s">
        <v>1554</v>
      </c>
    </row>
    <row r="1512" ht="14.25" customHeight="1">
      <c r="G1512" s="3" t="s">
        <v>1555</v>
      </c>
    </row>
    <row r="1513" ht="14.25" customHeight="1">
      <c r="G1513" s="3" t="s">
        <v>1556</v>
      </c>
    </row>
    <row r="1514" ht="14.25" customHeight="1">
      <c r="G1514" s="3" t="s">
        <v>1557</v>
      </c>
    </row>
    <row r="1515" ht="14.25" customHeight="1">
      <c r="G1515" s="3" t="s">
        <v>1558</v>
      </c>
    </row>
    <row r="1516" ht="14.25" customHeight="1">
      <c r="G1516" s="3" t="s">
        <v>1559</v>
      </c>
    </row>
    <row r="1517" ht="14.25" customHeight="1">
      <c r="G1517" s="3" t="s">
        <v>1560</v>
      </c>
    </row>
    <row r="1518" ht="14.25" customHeight="1">
      <c r="G1518" s="3" t="s">
        <v>1561</v>
      </c>
    </row>
    <row r="1519" ht="14.25" customHeight="1">
      <c r="G1519" s="3" t="s">
        <v>1562</v>
      </c>
    </row>
    <row r="1520" ht="14.25" customHeight="1">
      <c r="G1520" s="3" t="s">
        <v>1563</v>
      </c>
    </row>
    <row r="1521" ht="14.25" customHeight="1">
      <c r="G1521" s="3" t="s">
        <v>1564</v>
      </c>
    </row>
    <row r="1522" ht="14.25" customHeight="1">
      <c r="G1522" s="3" t="s">
        <v>1565</v>
      </c>
    </row>
    <row r="1523" ht="14.25" customHeight="1">
      <c r="G1523" s="3" t="s">
        <v>1566</v>
      </c>
    </row>
    <row r="1524" ht="14.25" customHeight="1">
      <c r="G1524" s="3" t="s">
        <v>1567</v>
      </c>
    </row>
    <row r="1525" ht="14.25" customHeight="1">
      <c r="G1525" s="3" t="s">
        <v>1568</v>
      </c>
    </row>
    <row r="1526" ht="14.25" customHeight="1">
      <c r="G1526" s="3" t="s">
        <v>1569</v>
      </c>
    </row>
    <row r="1527" ht="14.25" customHeight="1">
      <c r="G1527" s="3" t="s">
        <v>1570</v>
      </c>
    </row>
    <row r="1528" ht="14.25" customHeight="1">
      <c r="G1528" s="3" t="s">
        <v>1571</v>
      </c>
    </row>
    <row r="1529" ht="14.25" customHeight="1">
      <c r="G1529" s="3" t="s">
        <v>1572</v>
      </c>
    </row>
    <row r="1530" ht="14.25" customHeight="1">
      <c r="G1530" s="3" t="s">
        <v>1573</v>
      </c>
    </row>
    <row r="1531" ht="14.25" customHeight="1">
      <c r="G1531" s="3" t="s">
        <v>1574</v>
      </c>
    </row>
    <row r="1532" ht="14.25" customHeight="1">
      <c r="G1532" s="3" t="s">
        <v>1575</v>
      </c>
    </row>
    <row r="1533" ht="14.25" customHeight="1">
      <c r="G1533" s="3" t="s">
        <v>1576</v>
      </c>
    </row>
    <row r="1534" ht="14.25" customHeight="1">
      <c r="G1534" s="3" t="s">
        <v>1577</v>
      </c>
    </row>
    <row r="1535" ht="14.25" customHeight="1">
      <c r="G1535" s="3" t="s">
        <v>1578</v>
      </c>
    </row>
    <row r="1536" ht="14.25" customHeight="1">
      <c r="G1536" s="3" t="s">
        <v>1579</v>
      </c>
    </row>
    <row r="1537" ht="14.25" customHeight="1">
      <c r="G1537" s="3" t="s">
        <v>1580</v>
      </c>
    </row>
    <row r="1538" ht="14.25" customHeight="1">
      <c r="G1538" s="3" t="s">
        <v>1581</v>
      </c>
    </row>
    <row r="1539" ht="14.25" customHeight="1">
      <c r="G1539" s="3" t="s">
        <v>1582</v>
      </c>
    </row>
    <row r="1540" ht="14.25" customHeight="1">
      <c r="G1540" s="3" t="s">
        <v>1583</v>
      </c>
    </row>
    <row r="1541" ht="14.25" customHeight="1">
      <c r="G1541" s="3" t="s">
        <v>1584</v>
      </c>
    </row>
    <row r="1542" ht="14.25" customHeight="1">
      <c r="G1542" s="3" t="s">
        <v>1585</v>
      </c>
    </row>
    <row r="1543" ht="14.25" customHeight="1">
      <c r="G1543" s="3" t="s">
        <v>1586</v>
      </c>
    </row>
    <row r="1544" ht="14.25" customHeight="1">
      <c r="G1544" s="3" t="s">
        <v>1587</v>
      </c>
    </row>
    <row r="1545" ht="14.25" customHeight="1">
      <c r="G1545" s="3" t="s">
        <v>1588</v>
      </c>
    </row>
    <row r="1546" ht="14.25" customHeight="1">
      <c r="G1546" s="3" t="s">
        <v>1589</v>
      </c>
    </row>
    <row r="1547" ht="14.25" customHeight="1">
      <c r="G1547" s="3" t="s">
        <v>1590</v>
      </c>
    </row>
    <row r="1548" ht="14.25" customHeight="1">
      <c r="G1548" s="3" t="s">
        <v>1591</v>
      </c>
    </row>
    <row r="1549" ht="14.25" customHeight="1">
      <c r="G1549" s="3" t="s">
        <v>1592</v>
      </c>
    </row>
    <row r="1550" ht="14.25" customHeight="1">
      <c r="G1550" s="3" t="s">
        <v>1593</v>
      </c>
    </row>
    <row r="1551" ht="14.25" customHeight="1">
      <c r="G1551" s="3" t="s">
        <v>1594</v>
      </c>
    </row>
    <row r="1552" ht="14.25" customHeight="1">
      <c r="G1552" s="3" t="s">
        <v>1595</v>
      </c>
    </row>
    <row r="1553" ht="14.25" customHeight="1">
      <c r="G1553" s="3" t="s">
        <v>1596</v>
      </c>
    </row>
    <row r="1554" ht="14.25" customHeight="1">
      <c r="G1554" s="3" t="s">
        <v>1597</v>
      </c>
    </row>
    <row r="1555" ht="14.25" customHeight="1">
      <c r="G1555" s="3" t="s">
        <v>1598</v>
      </c>
    </row>
    <row r="1556" ht="14.25" customHeight="1">
      <c r="G1556" s="3" t="s">
        <v>1599</v>
      </c>
    </row>
    <row r="1557" ht="14.25" customHeight="1">
      <c r="G1557" s="3" t="s">
        <v>1600</v>
      </c>
    </row>
    <row r="1558" ht="14.25" customHeight="1">
      <c r="G1558" s="3" t="s">
        <v>1601</v>
      </c>
    </row>
    <row r="1559" ht="14.25" customHeight="1">
      <c r="G1559" s="3" t="s">
        <v>1602</v>
      </c>
    </row>
    <row r="1560" ht="14.25" customHeight="1">
      <c r="G1560" s="3" t="s">
        <v>1603</v>
      </c>
    </row>
    <row r="1561" ht="14.25" customHeight="1">
      <c r="G1561" s="3" t="s">
        <v>1604</v>
      </c>
    </row>
    <row r="1562" ht="14.25" customHeight="1">
      <c r="G1562" s="3" t="s">
        <v>1605</v>
      </c>
    </row>
    <row r="1563" ht="14.25" customHeight="1">
      <c r="G1563" s="3" t="s">
        <v>1606</v>
      </c>
    </row>
    <row r="1564" ht="14.25" customHeight="1">
      <c r="G1564" s="3" t="s">
        <v>1607</v>
      </c>
    </row>
    <row r="1565" ht="14.25" customHeight="1">
      <c r="G1565" s="3" t="s">
        <v>1608</v>
      </c>
    </row>
    <row r="1566" ht="14.25" customHeight="1">
      <c r="G1566" s="3" t="s">
        <v>1609</v>
      </c>
    </row>
    <row r="1567" ht="14.25" customHeight="1">
      <c r="G1567" s="3" t="s">
        <v>1610</v>
      </c>
    </row>
    <row r="1568" ht="14.25" customHeight="1">
      <c r="G1568" s="3" t="s">
        <v>1611</v>
      </c>
    </row>
    <row r="1569" ht="14.25" customHeight="1">
      <c r="G1569" s="3" t="s">
        <v>1612</v>
      </c>
    </row>
    <row r="1570" ht="14.25" customHeight="1">
      <c r="G1570" s="3" t="s">
        <v>1613</v>
      </c>
    </row>
    <row r="1571" ht="14.25" customHeight="1">
      <c r="G1571" s="3" t="s">
        <v>1614</v>
      </c>
    </row>
    <row r="1572" ht="14.25" customHeight="1">
      <c r="G1572" s="3" t="s">
        <v>1615</v>
      </c>
    </row>
    <row r="1573" ht="14.25" customHeight="1">
      <c r="G1573" s="3" t="s">
        <v>1616</v>
      </c>
    </row>
    <row r="1574" ht="14.25" customHeight="1">
      <c r="G1574" s="3" t="s">
        <v>1617</v>
      </c>
    </row>
    <row r="1575" ht="14.25" customHeight="1">
      <c r="G1575" s="3" t="s">
        <v>1618</v>
      </c>
    </row>
    <row r="1576" ht="14.25" customHeight="1">
      <c r="G1576" s="3" t="s">
        <v>1619</v>
      </c>
    </row>
    <row r="1577" ht="14.25" customHeight="1">
      <c r="G1577" s="3" t="s">
        <v>1620</v>
      </c>
    </row>
    <row r="1578" ht="14.25" customHeight="1">
      <c r="G1578" s="3" t="s">
        <v>1621</v>
      </c>
    </row>
    <row r="1579" ht="14.25" customHeight="1">
      <c r="G1579" s="3" t="s">
        <v>1622</v>
      </c>
    </row>
    <row r="1580" ht="14.25" customHeight="1">
      <c r="G1580" s="3" t="s">
        <v>1623</v>
      </c>
    </row>
    <row r="1581" ht="14.25" customHeight="1">
      <c r="G1581" s="3" t="s">
        <v>1624</v>
      </c>
    </row>
    <row r="1582" ht="14.25" customHeight="1">
      <c r="G1582" s="3" t="s">
        <v>1625</v>
      </c>
    </row>
    <row r="1583" ht="14.25" customHeight="1">
      <c r="G1583" s="3" t="s">
        <v>1626</v>
      </c>
    </row>
    <row r="1584" ht="14.25" customHeight="1">
      <c r="G1584" s="3" t="s">
        <v>1627</v>
      </c>
    </row>
    <row r="1585" ht="14.25" customHeight="1">
      <c r="G1585" s="3" t="s">
        <v>1628</v>
      </c>
    </row>
    <row r="1586" ht="14.25" customHeight="1">
      <c r="G1586" s="3" t="s">
        <v>1629</v>
      </c>
    </row>
    <row r="1587" ht="14.25" customHeight="1">
      <c r="G1587" s="3" t="s">
        <v>1630</v>
      </c>
    </row>
    <row r="1588" ht="14.25" customHeight="1">
      <c r="G1588" s="3" t="s">
        <v>1631</v>
      </c>
    </row>
    <row r="1589" ht="14.25" customHeight="1">
      <c r="G1589" s="3" t="s">
        <v>1632</v>
      </c>
    </row>
    <row r="1590" ht="14.25" customHeight="1">
      <c r="G1590" s="3" t="s">
        <v>1633</v>
      </c>
    </row>
    <row r="1591" ht="14.25" customHeight="1">
      <c r="G1591" s="3" t="s">
        <v>1634</v>
      </c>
    </row>
    <row r="1592" ht="14.25" customHeight="1">
      <c r="G1592" s="3" t="s">
        <v>1635</v>
      </c>
    </row>
    <row r="1593" ht="14.25" customHeight="1">
      <c r="G1593" s="3" t="s">
        <v>1636</v>
      </c>
    </row>
    <row r="1594" ht="14.25" customHeight="1">
      <c r="G1594" s="3" t="s">
        <v>1637</v>
      </c>
    </row>
    <row r="1595" ht="14.25" customHeight="1">
      <c r="G1595" s="3" t="s">
        <v>1638</v>
      </c>
    </row>
    <row r="1596" ht="14.25" customHeight="1">
      <c r="G1596" s="3" t="s">
        <v>1639</v>
      </c>
    </row>
    <row r="1597" ht="14.25" customHeight="1">
      <c r="G1597" s="3" t="s">
        <v>1640</v>
      </c>
    </row>
    <row r="1598" ht="14.25" customHeight="1">
      <c r="G1598" s="3" t="s">
        <v>1641</v>
      </c>
    </row>
    <row r="1599" ht="14.25" customHeight="1">
      <c r="G1599" s="3" t="s">
        <v>1642</v>
      </c>
    </row>
    <row r="1600" ht="14.25" customHeight="1">
      <c r="G1600" s="3" t="s">
        <v>1643</v>
      </c>
    </row>
    <row r="1601" ht="14.25" customHeight="1">
      <c r="G1601" s="3" t="s">
        <v>1644</v>
      </c>
    </row>
    <row r="1602" ht="14.25" customHeight="1">
      <c r="G1602" s="3" t="s">
        <v>1645</v>
      </c>
    </row>
    <row r="1603" ht="14.25" customHeight="1">
      <c r="G1603" s="3" t="s">
        <v>1646</v>
      </c>
    </row>
    <row r="1604" ht="14.25" customHeight="1">
      <c r="G1604" s="3" t="s">
        <v>1647</v>
      </c>
    </row>
    <row r="1605" ht="14.25" customHeight="1">
      <c r="G1605" s="3" t="s">
        <v>1648</v>
      </c>
    </row>
    <row r="1606" ht="14.25" customHeight="1">
      <c r="G1606" s="3" t="s">
        <v>1649</v>
      </c>
    </row>
    <row r="1607" ht="14.25" customHeight="1">
      <c r="G1607" s="3" t="s">
        <v>1650</v>
      </c>
    </row>
    <row r="1608" ht="14.25" customHeight="1">
      <c r="G1608" s="3" t="s">
        <v>1651</v>
      </c>
    </row>
    <row r="1609" ht="14.25" customHeight="1">
      <c r="G1609" s="3" t="s">
        <v>1652</v>
      </c>
    </row>
    <row r="1610" ht="14.25" customHeight="1">
      <c r="G1610" s="3" t="s">
        <v>1653</v>
      </c>
    </row>
    <row r="1611" ht="14.25" customHeight="1">
      <c r="G1611" s="3" t="s">
        <v>1654</v>
      </c>
    </row>
    <row r="1612" ht="14.25" customHeight="1">
      <c r="G1612" s="3" t="s">
        <v>1655</v>
      </c>
    </row>
    <row r="1613" ht="14.25" customHeight="1">
      <c r="G1613" s="3" t="s">
        <v>1656</v>
      </c>
    </row>
    <row r="1614" ht="14.25" customHeight="1">
      <c r="G1614" s="3" t="s">
        <v>1657</v>
      </c>
    </row>
    <row r="1615" ht="14.25" customHeight="1">
      <c r="G1615" s="3" t="s">
        <v>1658</v>
      </c>
    </row>
    <row r="1616" ht="14.25" customHeight="1">
      <c r="G1616" s="3" t="s">
        <v>1659</v>
      </c>
    </row>
    <row r="1617" ht="14.25" customHeight="1">
      <c r="G1617" s="3" t="s">
        <v>1660</v>
      </c>
    </row>
    <row r="1618" ht="14.25" customHeight="1">
      <c r="G1618" s="3" t="s">
        <v>1661</v>
      </c>
    </row>
    <row r="1619" ht="14.25" customHeight="1">
      <c r="G1619" s="3" t="s">
        <v>1662</v>
      </c>
    </row>
    <row r="1620" ht="14.25" customHeight="1">
      <c r="G1620" s="3" t="s">
        <v>1663</v>
      </c>
    </row>
    <row r="1621" ht="14.25" customHeight="1">
      <c r="G1621" s="3" t="s">
        <v>1664</v>
      </c>
    </row>
    <row r="1622" ht="14.25" customHeight="1">
      <c r="G1622" s="3" t="s">
        <v>1665</v>
      </c>
    </row>
    <row r="1623" ht="14.25" customHeight="1">
      <c r="G1623" s="3" t="s">
        <v>1666</v>
      </c>
    </row>
    <row r="1624" ht="14.25" customHeight="1">
      <c r="G1624" s="3" t="s">
        <v>1667</v>
      </c>
    </row>
    <row r="1625" ht="14.25" customHeight="1">
      <c r="G1625" s="3" t="s">
        <v>1668</v>
      </c>
    </row>
    <row r="1626" ht="14.25" customHeight="1">
      <c r="G1626" s="3" t="s">
        <v>1669</v>
      </c>
    </row>
    <row r="1627" ht="14.25" customHeight="1">
      <c r="G1627" s="3" t="s">
        <v>1670</v>
      </c>
    </row>
    <row r="1628" ht="14.25" customHeight="1">
      <c r="G1628" s="3" t="s">
        <v>1671</v>
      </c>
    </row>
    <row r="1629" ht="14.25" customHeight="1">
      <c r="G1629" s="3" t="s">
        <v>1672</v>
      </c>
    </row>
    <row r="1630" ht="14.25" customHeight="1">
      <c r="G1630" s="3" t="s">
        <v>1673</v>
      </c>
    </row>
    <row r="1631" ht="14.25" customHeight="1">
      <c r="G1631" s="3" t="s">
        <v>1674</v>
      </c>
    </row>
    <row r="1632" ht="14.25" customHeight="1">
      <c r="G1632" s="3" t="s">
        <v>1675</v>
      </c>
    </row>
    <row r="1633" ht="14.25" customHeight="1">
      <c r="G1633" s="3" t="s">
        <v>1676</v>
      </c>
    </row>
    <row r="1634" ht="14.25" customHeight="1">
      <c r="G1634" s="3" t="s">
        <v>1677</v>
      </c>
    </row>
    <row r="1635" ht="14.25" customHeight="1">
      <c r="G1635" s="3" t="s">
        <v>1678</v>
      </c>
    </row>
    <row r="1636" ht="14.25" customHeight="1">
      <c r="G1636" s="3" t="s">
        <v>1679</v>
      </c>
    </row>
    <row r="1637" ht="14.25" customHeight="1">
      <c r="G1637" s="3" t="s">
        <v>1680</v>
      </c>
    </row>
    <row r="1638" ht="14.25" customHeight="1">
      <c r="G1638" s="3" t="s">
        <v>1681</v>
      </c>
    </row>
    <row r="1639" ht="14.25" customHeight="1">
      <c r="G1639" s="3" t="s">
        <v>1682</v>
      </c>
    </row>
    <row r="1640" ht="14.25" customHeight="1">
      <c r="G1640" s="3" t="s">
        <v>1683</v>
      </c>
    </row>
    <row r="1641" ht="14.25" customHeight="1">
      <c r="G1641" s="3" t="s">
        <v>1684</v>
      </c>
    </row>
    <row r="1642" ht="14.25" customHeight="1">
      <c r="G1642" s="3" t="s">
        <v>1685</v>
      </c>
    </row>
    <row r="1643" ht="14.25" customHeight="1">
      <c r="G1643" s="3" t="s">
        <v>1686</v>
      </c>
    </row>
    <row r="1644" ht="14.25" customHeight="1">
      <c r="G1644" s="3" t="s">
        <v>1687</v>
      </c>
    </row>
    <row r="1645" ht="14.25" customHeight="1">
      <c r="G1645" s="3" t="s">
        <v>1688</v>
      </c>
    </row>
    <row r="1646" ht="14.25" customHeight="1">
      <c r="G1646" s="3" t="s">
        <v>1689</v>
      </c>
    </row>
    <row r="1647" ht="14.25" customHeight="1">
      <c r="G1647" s="3" t="s">
        <v>1690</v>
      </c>
    </row>
    <row r="1648" ht="14.25" customHeight="1">
      <c r="G1648" s="3" t="s">
        <v>1691</v>
      </c>
    </row>
    <row r="1649" ht="14.25" customHeight="1">
      <c r="G1649" s="3" t="s">
        <v>1692</v>
      </c>
    </row>
    <row r="1650" ht="14.25" customHeight="1">
      <c r="G1650" s="3" t="s">
        <v>1693</v>
      </c>
    </row>
    <row r="1651" ht="14.25" customHeight="1">
      <c r="G1651" s="3" t="s">
        <v>1694</v>
      </c>
    </row>
    <row r="1652" ht="14.25" customHeight="1">
      <c r="G1652" s="3" t="s">
        <v>1695</v>
      </c>
    </row>
    <row r="1653" ht="14.25" customHeight="1">
      <c r="G1653" s="3" t="s">
        <v>1696</v>
      </c>
    </row>
    <row r="1654" ht="14.25" customHeight="1">
      <c r="G1654" s="3" t="s">
        <v>1697</v>
      </c>
    </row>
    <row r="1655" ht="14.25" customHeight="1">
      <c r="G1655" s="3" t="s">
        <v>1698</v>
      </c>
    </row>
    <row r="1656" ht="14.25" customHeight="1">
      <c r="G1656" s="3" t="s">
        <v>1699</v>
      </c>
    </row>
    <row r="1657" ht="14.25" customHeight="1">
      <c r="G1657" s="3" t="s">
        <v>1700</v>
      </c>
    </row>
    <row r="1658" ht="14.25" customHeight="1">
      <c r="G1658" s="3" t="s">
        <v>1701</v>
      </c>
    </row>
    <row r="1659" ht="14.25" customHeight="1">
      <c r="G1659" s="3" t="s">
        <v>1702</v>
      </c>
    </row>
    <row r="1660" ht="14.25" customHeight="1">
      <c r="G1660" s="3" t="s">
        <v>1703</v>
      </c>
    </row>
    <row r="1661" ht="14.25" customHeight="1">
      <c r="G1661" s="3" t="s">
        <v>1704</v>
      </c>
    </row>
    <row r="1662" ht="14.25" customHeight="1">
      <c r="G1662" s="3" t="s">
        <v>1705</v>
      </c>
    </row>
    <row r="1663" ht="14.25" customHeight="1">
      <c r="G1663" s="3" t="s">
        <v>1706</v>
      </c>
    </row>
    <row r="1664" ht="14.25" customHeight="1">
      <c r="G1664" s="3" t="s">
        <v>1707</v>
      </c>
    </row>
    <row r="1665" ht="14.25" customHeight="1">
      <c r="G1665" s="3" t="s">
        <v>1708</v>
      </c>
    </row>
    <row r="1666" ht="14.25" customHeight="1">
      <c r="G1666" s="3" t="s">
        <v>1709</v>
      </c>
    </row>
    <row r="1667" ht="14.25" customHeight="1">
      <c r="G1667" s="3" t="s">
        <v>1710</v>
      </c>
    </row>
    <row r="1668" ht="14.25" customHeight="1">
      <c r="G1668" s="3" t="s">
        <v>1711</v>
      </c>
    </row>
    <row r="1669" ht="14.25" customHeight="1">
      <c r="G1669" s="3" t="s">
        <v>1712</v>
      </c>
    </row>
    <row r="1670" ht="14.25" customHeight="1">
      <c r="G1670" s="3" t="s">
        <v>1713</v>
      </c>
    </row>
    <row r="1671" ht="14.25" customHeight="1">
      <c r="G1671" s="3" t="s">
        <v>1714</v>
      </c>
    </row>
    <row r="1672" ht="14.25" customHeight="1">
      <c r="G1672" s="3" t="s">
        <v>1715</v>
      </c>
    </row>
    <row r="1673" ht="14.25" customHeight="1">
      <c r="G1673" s="3" t="s">
        <v>1716</v>
      </c>
    </row>
    <row r="1674" ht="14.25" customHeight="1">
      <c r="G1674" s="3" t="s">
        <v>1717</v>
      </c>
    </row>
    <row r="1675" ht="14.25" customHeight="1">
      <c r="G1675" s="3" t="s">
        <v>1718</v>
      </c>
    </row>
    <row r="1676" ht="14.25" customHeight="1">
      <c r="G1676" s="3" t="s">
        <v>1719</v>
      </c>
    </row>
    <row r="1677" ht="14.25" customHeight="1">
      <c r="G1677" s="3" t="s">
        <v>1720</v>
      </c>
    </row>
    <row r="1678" ht="14.25" customHeight="1">
      <c r="G1678" s="3" t="s">
        <v>1721</v>
      </c>
    </row>
    <row r="1679" ht="14.25" customHeight="1">
      <c r="G1679" s="3" t="s">
        <v>1722</v>
      </c>
    </row>
    <row r="1680" ht="14.25" customHeight="1">
      <c r="G1680" s="3" t="s">
        <v>1723</v>
      </c>
    </row>
    <row r="1681" ht="14.25" customHeight="1">
      <c r="G1681" s="3" t="s">
        <v>1724</v>
      </c>
    </row>
    <row r="1682" ht="14.25" customHeight="1">
      <c r="G1682" s="3" t="s">
        <v>1725</v>
      </c>
    </row>
    <row r="1683" ht="14.25" customHeight="1">
      <c r="G1683" s="3" t="s">
        <v>1726</v>
      </c>
    </row>
    <row r="1684" ht="14.25" customHeight="1">
      <c r="G1684" s="3" t="s">
        <v>1727</v>
      </c>
    </row>
    <row r="1685" ht="14.25" customHeight="1">
      <c r="G1685" s="3" t="s">
        <v>1728</v>
      </c>
    </row>
    <row r="1686" ht="14.25" customHeight="1">
      <c r="G1686" s="3" t="s">
        <v>1729</v>
      </c>
    </row>
    <row r="1687" ht="14.25" customHeight="1">
      <c r="G1687" s="3" t="s">
        <v>1730</v>
      </c>
    </row>
    <row r="1688" ht="14.25" customHeight="1">
      <c r="G1688" s="3" t="s">
        <v>1731</v>
      </c>
    </row>
    <row r="1689" ht="14.25" customHeight="1">
      <c r="G1689" s="3" t="s">
        <v>1732</v>
      </c>
    </row>
    <row r="1690" ht="14.25" customHeight="1">
      <c r="G1690" s="3" t="s">
        <v>1733</v>
      </c>
    </row>
    <row r="1691" ht="14.25" customHeight="1">
      <c r="G1691" s="3" t="s">
        <v>1734</v>
      </c>
    </row>
    <row r="1692" ht="14.25" customHeight="1">
      <c r="G1692" s="3" t="s">
        <v>1735</v>
      </c>
    </row>
    <row r="1693" ht="14.25" customHeight="1">
      <c r="G1693" s="3" t="s">
        <v>1736</v>
      </c>
    </row>
    <row r="1694" ht="14.25" customHeight="1">
      <c r="G1694" s="3" t="s">
        <v>1737</v>
      </c>
    </row>
    <row r="1695" ht="14.25" customHeight="1">
      <c r="G1695" s="3" t="s">
        <v>1738</v>
      </c>
    </row>
    <row r="1696" ht="14.25" customHeight="1">
      <c r="G1696" s="3" t="s">
        <v>1739</v>
      </c>
    </row>
    <row r="1697" ht="14.25" customHeight="1">
      <c r="G1697" s="3" t="s">
        <v>1740</v>
      </c>
    </row>
    <row r="1698" ht="14.25" customHeight="1">
      <c r="G1698" s="3" t="s">
        <v>1741</v>
      </c>
    </row>
    <row r="1699" ht="14.25" customHeight="1">
      <c r="G1699" s="3" t="s">
        <v>1742</v>
      </c>
    </row>
    <row r="1700" ht="14.25" customHeight="1">
      <c r="G1700" s="3" t="s">
        <v>1743</v>
      </c>
    </row>
    <row r="1701" ht="14.25" customHeight="1">
      <c r="G1701" s="3" t="s">
        <v>1744</v>
      </c>
    </row>
    <row r="1702" ht="14.25" customHeight="1">
      <c r="G1702" s="3" t="s">
        <v>1745</v>
      </c>
    </row>
    <row r="1703" ht="14.25" customHeight="1">
      <c r="G1703" s="3" t="s">
        <v>1746</v>
      </c>
    </row>
    <row r="1704" ht="14.25" customHeight="1">
      <c r="G1704" s="3" t="s">
        <v>1747</v>
      </c>
    </row>
    <row r="1705" ht="14.25" customHeight="1">
      <c r="G1705" s="3" t="s">
        <v>1748</v>
      </c>
    </row>
    <row r="1706" ht="14.25" customHeight="1">
      <c r="G1706" s="3" t="s">
        <v>1749</v>
      </c>
    </row>
    <row r="1707" ht="14.25" customHeight="1">
      <c r="G1707" s="3" t="s">
        <v>1750</v>
      </c>
    </row>
    <row r="1708" ht="14.25" customHeight="1">
      <c r="G1708" s="3" t="s">
        <v>1751</v>
      </c>
    </row>
    <row r="1709" ht="14.25" customHeight="1">
      <c r="G1709" s="3" t="s">
        <v>1752</v>
      </c>
    </row>
    <row r="1710" ht="14.25" customHeight="1">
      <c r="G1710" s="3" t="s">
        <v>1753</v>
      </c>
    </row>
    <row r="1711" ht="14.25" customHeight="1">
      <c r="G1711" s="3" t="s">
        <v>1754</v>
      </c>
    </row>
    <row r="1712" ht="14.25" customHeight="1">
      <c r="G1712" s="3" t="s">
        <v>1755</v>
      </c>
    </row>
    <row r="1713" ht="14.25" customHeight="1">
      <c r="G1713" s="3" t="s">
        <v>1756</v>
      </c>
    </row>
    <row r="1714" ht="14.25" customHeight="1">
      <c r="G1714" s="3" t="s">
        <v>1757</v>
      </c>
    </row>
    <row r="1715" ht="14.25" customHeight="1">
      <c r="G1715" s="3" t="s">
        <v>1758</v>
      </c>
    </row>
    <row r="1716" ht="14.25" customHeight="1">
      <c r="G1716" s="3" t="s">
        <v>1759</v>
      </c>
    </row>
    <row r="1717" ht="14.25" customHeight="1">
      <c r="G1717" s="3" t="s">
        <v>1760</v>
      </c>
    </row>
    <row r="1718" ht="14.25" customHeight="1">
      <c r="G1718" s="3" t="s">
        <v>1761</v>
      </c>
    </row>
    <row r="1719" ht="14.25" customHeight="1">
      <c r="G1719" s="3" t="s">
        <v>1762</v>
      </c>
    </row>
    <row r="1720" ht="14.25" customHeight="1">
      <c r="G1720" s="3" t="s">
        <v>1763</v>
      </c>
    </row>
    <row r="1721" ht="14.25" customHeight="1">
      <c r="G1721" s="3" t="s">
        <v>1764</v>
      </c>
    </row>
    <row r="1722" ht="14.25" customHeight="1">
      <c r="G1722" s="3" t="s">
        <v>1765</v>
      </c>
    </row>
    <row r="1723" ht="14.25" customHeight="1">
      <c r="G1723" s="3" t="s">
        <v>1766</v>
      </c>
    </row>
    <row r="1724" ht="14.25" customHeight="1">
      <c r="G1724" s="3" t="s">
        <v>1767</v>
      </c>
    </row>
    <row r="1725" ht="14.25" customHeight="1">
      <c r="G1725" s="3" t="s">
        <v>1768</v>
      </c>
    </row>
    <row r="1726" ht="14.25" customHeight="1">
      <c r="G1726" s="3" t="s">
        <v>1769</v>
      </c>
    </row>
    <row r="1727" ht="14.25" customHeight="1">
      <c r="G1727" s="3" t="s">
        <v>1770</v>
      </c>
    </row>
    <row r="1728" ht="14.25" customHeight="1">
      <c r="G1728" s="3" t="s">
        <v>1771</v>
      </c>
    </row>
    <row r="1729" ht="14.25" customHeight="1">
      <c r="G1729" s="3" t="s">
        <v>1772</v>
      </c>
    </row>
    <row r="1730" ht="14.25" customHeight="1">
      <c r="G1730" s="3" t="s">
        <v>1773</v>
      </c>
    </row>
    <row r="1731" ht="14.25" customHeight="1">
      <c r="G1731" s="3" t="s">
        <v>1774</v>
      </c>
    </row>
    <row r="1732" ht="14.25" customHeight="1">
      <c r="G1732" s="3" t="s">
        <v>1775</v>
      </c>
    </row>
    <row r="1733" ht="14.25" customHeight="1">
      <c r="G1733" s="3" t="s">
        <v>1776</v>
      </c>
    </row>
    <row r="1734" ht="14.25" customHeight="1">
      <c r="G1734" s="3" t="s">
        <v>1777</v>
      </c>
    </row>
    <row r="1735" ht="14.25" customHeight="1">
      <c r="G1735" s="3" t="s">
        <v>1778</v>
      </c>
    </row>
    <row r="1736" ht="14.25" customHeight="1">
      <c r="G1736" s="3" t="s">
        <v>1779</v>
      </c>
    </row>
    <row r="1737" ht="14.25" customHeight="1">
      <c r="G1737" s="3" t="s">
        <v>1780</v>
      </c>
    </row>
    <row r="1738" ht="14.25" customHeight="1">
      <c r="G1738" s="3" t="s">
        <v>1781</v>
      </c>
    </row>
    <row r="1739" ht="14.25" customHeight="1">
      <c r="G1739" s="3" t="s">
        <v>1782</v>
      </c>
    </row>
    <row r="1740" ht="14.25" customHeight="1">
      <c r="G1740" s="3" t="s">
        <v>1783</v>
      </c>
    </row>
    <row r="1741" ht="14.25" customHeight="1">
      <c r="G1741" s="3" t="s">
        <v>1784</v>
      </c>
    </row>
    <row r="1742" ht="14.25" customHeight="1">
      <c r="G1742" s="3" t="s">
        <v>1785</v>
      </c>
    </row>
    <row r="1743" ht="14.25" customHeight="1">
      <c r="G1743" s="3" t="s">
        <v>1786</v>
      </c>
    </row>
    <row r="1744" ht="14.25" customHeight="1">
      <c r="G1744" s="3" t="s">
        <v>1787</v>
      </c>
    </row>
    <row r="1745" ht="14.25" customHeight="1">
      <c r="G1745" s="3" t="s">
        <v>1788</v>
      </c>
    </row>
    <row r="1746" ht="14.25" customHeight="1">
      <c r="G1746" s="3" t="s">
        <v>1789</v>
      </c>
    </row>
    <row r="1747" ht="14.25" customHeight="1">
      <c r="G1747" s="3" t="s">
        <v>1790</v>
      </c>
    </row>
    <row r="1748" ht="14.25" customHeight="1">
      <c r="G1748" s="3" t="s">
        <v>1791</v>
      </c>
    </row>
    <row r="1749" ht="14.25" customHeight="1">
      <c r="G1749" s="3" t="s">
        <v>1792</v>
      </c>
    </row>
    <row r="1750" ht="14.25" customHeight="1">
      <c r="G1750" s="3" t="s">
        <v>1793</v>
      </c>
    </row>
    <row r="1751" ht="14.25" customHeight="1">
      <c r="G1751" s="3" t="s">
        <v>1794</v>
      </c>
    </row>
    <row r="1752" ht="14.25" customHeight="1">
      <c r="G1752" s="3" t="s">
        <v>1795</v>
      </c>
    </row>
    <row r="1753" ht="14.25" customHeight="1">
      <c r="G1753" s="3" t="s">
        <v>1796</v>
      </c>
    </row>
    <row r="1754" ht="14.25" customHeight="1">
      <c r="G1754" s="3" t="s">
        <v>1797</v>
      </c>
    </row>
    <row r="1755" ht="14.25" customHeight="1">
      <c r="G1755" s="3" t="s">
        <v>1798</v>
      </c>
    </row>
    <row r="1756" ht="14.25" customHeight="1">
      <c r="G1756" s="3" t="s">
        <v>1799</v>
      </c>
    </row>
    <row r="1757" ht="14.25" customHeight="1">
      <c r="G1757" s="3" t="s">
        <v>1800</v>
      </c>
    </row>
    <row r="1758" ht="14.25" customHeight="1">
      <c r="G1758" s="3" t="s">
        <v>1801</v>
      </c>
    </row>
    <row r="1759" ht="14.25" customHeight="1">
      <c r="G1759" s="3" t="s">
        <v>1802</v>
      </c>
    </row>
    <row r="1760" ht="14.25" customHeight="1">
      <c r="G1760" s="3" t="s">
        <v>1803</v>
      </c>
    </row>
    <row r="1761" ht="14.25" customHeight="1">
      <c r="G1761" s="3" t="s">
        <v>1804</v>
      </c>
    </row>
    <row r="1762" ht="14.25" customHeight="1">
      <c r="G1762" s="3" t="s">
        <v>1805</v>
      </c>
    </row>
    <row r="1763" ht="14.25" customHeight="1">
      <c r="G1763" s="3" t="s">
        <v>1806</v>
      </c>
    </row>
    <row r="1764" ht="14.25" customHeight="1">
      <c r="G1764" s="3" t="s">
        <v>1807</v>
      </c>
    </row>
    <row r="1765" ht="14.25" customHeight="1">
      <c r="G1765" s="3" t="s">
        <v>1808</v>
      </c>
    </row>
    <row r="1766" ht="14.25" customHeight="1">
      <c r="G1766" s="3" t="s">
        <v>1809</v>
      </c>
    </row>
    <row r="1767" ht="14.25" customHeight="1">
      <c r="G1767" s="3" t="s">
        <v>1810</v>
      </c>
    </row>
    <row r="1768" ht="14.25" customHeight="1">
      <c r="G1768" s="3" t="s">
        <v>1811</v>
      </c>
    </row>
    <row r="1769" ht="14.25" customHeight="1">
      <c r="G1769" s="3" t="s">
        <v>1812</v>
      </c>
    </row>
    <row r="1770" ht="14.25" customHeight="1">
      <c r="G1770" s="3" t="s">
        <v>1813</v>
      </c>
    </row>
    <row r="1771" ht="14.25" customHeight="1">
      <c r="G1771" s="3" t="s">
        <v>1814</v>
      </c>
    </row>
    <row r="1772" ht="14.25" customHeight="1">
      <c r="G1772" s="3" t="s">
        <v>1815</v>
      </c>
    </row>
    <row r="1773" ht="14.25" customHeight="1">
      <c r="G1773" s="3" t="s">
        <v>1816</v>
      </c>
    </row>
    <row r="1774" ht="14.25" customHeight="1">
      <c r="G1774" s="3" t="s">
        <v>1817</v>
      </c>
    </row>
    <row r="1775" ht="14.25" customHeight="1">
      <c r="G1775" s="3" t="s">
        <v>1818</v>
      </c>
    </row>
    <row r="1776" ht="14.25" customHeight="1">
      <c r="G1776" s="3" t="s">
        <v>1819</v>
      </c>
    </row>
    <row r="1777" ht="14.25" customHeight="1">
      <c r="G1777" s="3" t="s">
        <v>1820</v>
      </c>
    </row>
    <row r="1778" ht="14.25" customHeight="1">
      <c r="G1778" s="3" t="s">
        <v>1821</v>
      </c>
    </row>
    <row r="1779" ht="14.25" customHeight="1">
      <c r="G1779" s="3" t="s">
        <v>1822</v>
      </c>
    </row>
    <row r="1780" ht="14.25" customHeight="1">
      <c r="G1780" s="3" t="s">
        <v>1823</v>
      </c>
    </row>
    <row r="1781" ht="14.25" customHeight="1">
      <c r="G1781" s="3" t="s">
        <v>1824</v>
      </c>
    </row>
    <row r="1782" ht="14.25" customHeight="1">
      <c r="G1782" s="3" t="s">
        <v>1825</v>
      </c>
    </row>
    <row r="1783" ht="14.25" customHeight="1">
      <c r="G1783" s="3" t="s">
        <v>1826</v>
      </c>
    </row>
    <row r="1784" ht="14.25" customHeight="1">
      <c r="G1784" s="3" t="s">
        <v>1827</v>
      </c>
    </row>
    <row r="1785" ht="14.25" customHeight="1">
      <c r="G1785" s="3" t="s">
        <v>1828</v>
      </c>
    </row>
    <row r="1786" ht="14.25" customHeight="1">
      <c r="G1786" s="3" t="s">
        <v>1829</v>
      </c>
    </row>
    <row r="1787" ht="14.25" customHeight="1">
      <c r="G1787" s="3" t="s">
        <v>1830</v>
      </c>
    </row>
    <row r="1788" ht="14.25" customHeight="1">
      <c r="G1788" s="3" t="s">
        <v>1831</v>
      </c>
    </row>
    <row r="1789" ht="14.25" customHeight="1">
      <c r="G1789" s="3" t="s">
        <v>1832</v>
      </c>
    </row>
    <row r="1790" ht="14.25" customHeight="1">
      <c r="G1790" s="3" t="s">
        <v>1833</v>
      </c>
    </row>
    <row r="1791" ht="14.25" customHeight="1">
      <c r="G1791" s="3" t="s">
        <v>1834</v>
      </c>
    </row>
    <row r="1792" ht="14.25" customHeight="1">
      <c r="G1792" s="3" t="s">
        <v>1835</v>
      </c>
    </row>
    <row r="1793" ht="14.25" customHeight="1">
      <c r="G1793" s="3" t="s">
        <v>1836</v>
      </c>
    </row>
    <row r="1794" ht="14.25" customHeight="1">
      <c r="G1794" s="3" t="s">
        <v>1837</v>
      </c>
    </row>
    <row r="1795" ht="14.25" customHeight="1">
      <c r="G1795" s="3" t="s">
        <v>1838</v>
      </c>
    </row>
    <row r="1796" ht="14.25" customHeight="1">
      <c r="G1796" s="3" t="s">
        <v>1839</v>
      </c>
    </row>
    <row r="1797" ht="14.25" customHeight="1">
      <c r="G1797" s="3" t="s">
        <v>1840</v>
      </c>
    </row>
    <row r="1798" ht="14.25" customHeight="1">
      <c r="G1798" s="3" t="s">
        <v>1841</v>
      </c>
    </row>
    <row r="1799" ht="14.25" customHeight="1">
      <c r="G1799" s="3" t="s">
        <v>1842</v>
      </c>
    </row>
    <row r="1800" ht="14.25" customHeight="1">
      <c r="G1800" s="3" t="s">
        <v>1843</v>
      </c>
    </row>
    <row r="1801" ht="14.25" customHeight="1">
      <c r="G1801" s="3" t="s">
        <v>1844</v>
      </c>
    </row>
    <row r="1802" ht="14.25" customHeight="1">
      <c r="G1802" s="3" t="s">
        <v>1845</v>
      </c>
    </row>
    <row r="1803" ht="14.25" customHeight="1">
      <c r="G1803" s="3" t="s">
        <v>1846</v>
      </c>
    </row>
    <row r="1804" ht="14.25" customHeight="1">
      <c r="G1804" s="3" t="s">
        <v>1847</v>
      </c>
    </row>
    <row r="1805" ht="14.25" customHeight="1">
      <c r="G1805" s="3" t="s">
        <v>1848</v>
      </c>
    </row>
    <row r="1806" ht="14.25" customHeight="1">
      <c r="G1806" s="3" t="s">
        <v>1849</v>
      </c>
    </row>
    <row r="1807" ht="14.25" customHeight="1">
      <c r="G1807" s="3" t="s">
        <v>1850</v>
      </c>
    </row>
    <row r="1808" ht="14.25" customHeight="1">
      <c r="G1808" s="3" t="s">
        <v>1851</v>
      </c>
    </row>
    <row r="1809" ht="14.25" customHeight="1">
      <c r="G1809" s="3" t="s">
        <v>1852</v>
      </c>
    </row>
    <row r="1810" ht="14.25" customHeight="1">
      <c r="G1810" s="3" t="s">
        <v>1853</v>
      </c>
    </row>
    <row r="1811" ht="14.25" customHeight="1">
      <c r="G1811" s="3" t="s">
        <v>1854</v>
      </c>
    </row>
    <row r="1812" ht="14.25" customHeight="1">
      <c r="G1812" s="3" t="s">
        <v>1855</v>
      </c>
    </row>
    <row r="1813" ht="14.25" customHeight="1">
      <c r="G1813" s="3" t="s">
        <v>1856</v>
      </c>
    </row>
    <row r="1814" ht="14.25" customHeight="1">
      <c r="G1814" s="3" t="s">
        <v>1857</v>
      </c>
    </row>
    <row r="1815" ht="14.25" customHeight="1">
      <c r="G1815" s="3" t="s">
        <v>1858</v>
      </c>
    </row>
    <row r="1816" ht="14.25" customHeight="1">
      <c r="G1816" s="3" t="s">
        <v>1859</v>
      </c>
    </row>
    <row r="1817" ht="14.25" customHeight="1">
      <c r="G1817" s="3" t="s">
        <v>1860</v>
      </c>
    </row>
    <row r="1818" ht="14.25" customHeight="1">
      <c r="G1818" s="3" t="s">
        <v>1861</v>
      </c>
    </row>
    <row r="1819" ht="14.25" customHeight="1">
      <c r="G1819" s="3" t="s">
        <v>1862</v>
      </c>
    </row>
    <row r="1820" ht="14.25" customHeight="1">
      <c r="G1820" s="3" t="s">
        <v>1863</v>
      </c>
    </row>
    <row r="1821" ht="14.25" customHeight="1">
      <c r="G1821" s="3" t="s">
        <v>1864</v>
      </c>
    </row>
    <row r="1822" ht="14.25" customHeight="1">
      <c r="G1822" s="3" t="s">
        <v>1865</v>
      </c>
    </row>
    <row r="1823" ht="14.25" customHeight="1">
      <c r="G1823" s="3" t="s">
        <v>1866</v>
      </c>
    </row>
    <row r="1824" ht="14.25" customHeight="1">
      <c r="G1824" s="3" t="s">
        <v>1867</v>
      </c>
    </row>
    <row r="1825" ht="14.25" customHeight="1">
      <c r="G1825" s="3" t="s">
        <v>1868</v>
      </c>
    </row>
    <row r="1826" ht="14.25" customHeight="1">
      <c r="G1826" s="3" t="s">
        <v>1869</v>
      </c>
    </row>
    <row r="1827" ht="14.25" customHeight="1">
      <c r="G1827" s="3" t="s">
        <v>1870</v>
      </c>
    </row>
    <row r="1828" ht="14.25" customHeight="1">
      <c r="G1828" s="3" t="s">
        <v>1871</v>
      </c>
    </row>
    <row r="1829" ht="14.25" customHeight="1">
      <c r="G1829" s="3" t="s">
        <v>1872</v>
      </c>
    </row>
    <row r="1830" ht="14.25" customHeight="1">
      <c r="G1830" s="3" t="s">
        <v>1873</v>
      </c>
    </row>
    <row r="1831" ht="14.25" customHeight="1">
      <c r="G1831" s="3" t="s">
        <v>1874</v>
      </c>
    </row>
    <row r="1832" ht="14.25" customHeight="1">
      <c r="G1832" s="3" t="s">
        <v>1875</v>
      </c>
    </row>
    <row r="1833" ht="14.25" customHeight="1">
      <c r="G1833" s="3" t="s">
        <v>1876</v>
      </c>
    </row>
    <row r="1834" ht="14.25" customHeight="1">
      <c r="G1834" s="3" t="s">
        <v>1877</v>
      </c>
    </row>
    <row r="1835" ht="14.25" customHeight="1">
      <c r="G1835" s="3" t="s">
        <v>1878</v>
      </c>
    </row>
    <row r="1836" ht="14.25" customHeight="1">
      <c r="G1836" s="3" t="s">
        <v>1879</v>
      </c>
    </row>
    <row r="1837" ht="14.25" customHeight="1">
      <c r="G1837" s="3" t="s">
        <v>1880</v>
      </c>
    </row>
    <row r="1838" ht="14.25" customHeight="1">
      <c r="G1838" s="3" t="s">
        <v>1881</v>
      </c>
    </row>
    <row r="1839" ht="14.25" customHeight="1">
      <c r="G1839" s="3" t="s">
        <v>1882</v>
      </c>
    </row>
    <row r="1840" ht="14.25" customHeight="1">
      <c r="G1840" s="3" t="s">
        <v>1883</v>
      </c>
    </row>
    <row r="1841" ht="14.25" customHeight="1">
      <c r="G1841" s="3" t="s">
        <v>1884</v>
      </c>
    </row>
    <row r="1842" ht="14.25" customHeight="1">
      <c r="G1842" s="3" t="s">
        <v>1885</v>
      </c>
    </row>
    <row r="1843" ht="14.25" customHeight="1">
      <c r="G1843" s="3" t="s">
        <v>1886</v>
      </c>
    </row>
    <row r="1844" ht="14.25" customHeight="1">
      <c r="G1844" s="3" t="s">
        <v>1887</v>
      </c>
    </row>
    <row r="1845" ht="14.25" customHeight="1">
      <c r="G1845" s="3" t="s">
        <v>1888</v>
      </c>
    </row>
    <row r="1846" ht="14.25" customHeight="1">
      <c r="G1846" s="3" t="s">
        <v>1889</v>
      </c>
    </row>
    <row r="1847" ht="14.25" customHeight="1">
      <c r="G1847" s="3" t="s">
        <v>1890</v>
      </c>
    </row>
    <row r="1848" ht="14.25" customHeight="1">
      <c r="G1848" s="3" t="s">
        <v>1891</v>
      </c>
    </row>
    <row r="1849" ht="14.25" customHeight="1">
      <c r="G1849" s="3" t="s">
        <v>1892</v>
      </c>
    </row>
    <row r="1850" ht="14.25" customHeight="1">
      <c r="G1850" s="3" t="s">
        <v>1893</v>
      </c>
    </row>
    <row r="1851" ht="14.25" customHeight="1">
      <c r="G1851" s="3" t="s">
        <v>1894</v>
      </c>
    </row>
    <row r="1852" ht="14.25" customHeight="1">
      <c r="G1852" s="3" t="s">
        <v>1895</v>
      </c>
    </row>
    <row r="1853" ht="14.25" customHeight="1">
      <c r="G1853" s="3" t="s">
        <v>1896</v>
      </c>
    </row>
    <row r="1854" ht="14.25" customHeight="1">
      <c r="G1854" s="3" t="s">
        <v>1897</v>
      </c>
    </row>
    <row r="1855" ht="14.25" customHeight="1">
      <c r="G1855" s="3" t="s">
        <v>1898</v>
      </c>
    </row>
    <row r="1856" ht="14.25" customHeight="1">
      <c r="G1856" s="3" t="s">
        <v>1899</v>
      </c>
    </row>
    <row r="1857" ht="14.25" customHeight="1">
      <c r="G1857" s="3" t="s">
        <v>1900</v>
      </c>
    </row>
    <row r="1858" ht="14.25" customHeight="1">
      <c r="G1858" s="3" t="s">
        <v>1901</v>
      </c>
    </row>
    <row r="1859" ht="14.25" customHeight="1">
      <c r="G1859" s="3" t="s">
        <v>1902</v>
      </c>
    </row>
    <row r="1860" ht="14.25" customHeight="1">
      <c r="G1860" s="3" t="s">
        <v>1903</v>
      </c>
    </row>
    <row r="1861" ht="14.25" customHeight="1">
      <c r="G1861" s="3" t="s">
        <v>1904</v>
      </c>
    </row>
    <row r="1862" ht="14.25" customHeight="1">
      <c r="G1862" s="3" t="s">
        <v>1905</v>
      </c>
    </row>
    <row r="1863" ht="14.25" customHeight="1">
      <c r="G1863" s="3" t="s">
        <v>1906</v>
      </c>
    </row>
    <row r="1864" ht="14.25" customHeight="1">
      <c r="G1864" s="3" t="s">
        <v>1907</v>
      </c>
    </row>
    <row r="1865" ht="14.25" customHeight="1">
      <c r="G1865" s="3" t="s">
        <v>1908</v>
      </c>
    </row>
    <row r="1866" ht="14.25" customHeight="1">
      <c r="G1866" s="3" t="s">
        <v>1909</v>
      </c>
    </row>
    <row r="1867" ht="14.25" customHeight="1">
      <c r="G1867" s="3" t="s">
        <v>1910</v>
      </c>
    </row>
    <row r="1868" ht="14.25" customHeight="1">
      <c r="G1868" s="3" t="s">
        <v>1911</v>
      </c>
    </row>
    <row r="1869" ht="14.25" customHeight="1">
      <c r="G1869" s="3" t="s">
        <v>1912</v>
      </c>
    </row>
    <row r="1870" ht="14.25" customHeight="1">
      <c r="G1870" s="3" t="s">
        <v>1913</v>
      </c>
    </row>
    <row r="1871" ht="14.25" customHeight="1">
      <c r="G1871" s="3" t="s">
        <v>1914</v>
      </c>
    </row>
    <row r="1872" ht="14.25" customHeight="1">
      <c r="G1872" s="3" t="s">
        <v>1915</v>
      </c>
    </row>
    <row r="1873" ht="14.25" customHeight="1">
      <c r="G1873" s="3" t="s">
        <v>1916</v>
      </c>
    </row>
    <row r="1874" ht="14.25" customHeight="1">
      <c r="G1874" s="3" t="s">
        <v>1917</v>
      </c>
    </row>
    <row r="1875" ht="14.25" customHeight="1">
      <c r="G1875" s="3" t="s">
        <v>1918</v>
      </c>
    </row>
    <row r="1876" ht="14.25" customHeight="1">
      <c r="G1876" s="3" t="s">
        <v>1919</v>
      </c>
    </row>
    <row r="1877" ht="14.25" customHeight="1">
      <c r="G1877" s="3" t="s">
        <v>1920</v>
      </c>
    </row>
    <row r="1878" ht="14.25" customHeight="1">
      <c r="G1878" s="3" t="s">
        <v>1921</v>
      </c>
    </row>
    <row r="1879" ht="14.25" customHeight="1">
      <c r="G1879" s="3" t="s">
        <v>1922</v>
      </c>
    </row>
    <row r="1880" ht="14.25" customHeight="1">
      <c r="G1880" s="3" t="s">
        <v>1923</v>
      </c>
    </row>
    <row r="1881" ht="14.25" customHeight="1">
      <c r="G1881" s="3" t="s">
        <v>1924</v>
      </c>
    </row>
    <row r="1882" ht="14.25" customHeight="1">
      <c r="G1882" s="3" t="s">
        <v>1925</v>
      </c>
    </row>
    <row r="1883" ht="14.25" customHeight="1">
      <c r="G1883" s="3" t="s">
        <v>1926</v>
      </c>
    </row>
    <row r="1884" ht="14.25" customHeight="1">
      <c r="G1884" s="3" t="s">
        <v>1927</v>
      </c>
    </row>
    <row r="1885" ht="14.25" customHeight="1">
      <c r="G1885" s="3" t="s">
        <v>1928</v>
      </c>
    </row>
    <row r="1886" ht="14.25" customHeight="1">
      <c r="G1886" s="3" t="s">
        <v>1929</v>
      </c>
    </row>
    <row r="1887" ht="14.25" customHeight="1">
      <c r="G1887" s="3" t="s">
        <v>1930</v>
      </c>
    </row>
    <row r="1888" ht="14.25" customHeight="1">
      <c r="G1888" s="3" t="s">
        <v>1931</v>
      </c>
    </row>
    <row r="1889" ht="14.25" customHeight="1">
      <c r="G1889" s="3" t="s">
        <v>1932</v>
      </c>
    </row>
    <row r="1890" ht="14.25" customHeight="1">
      <c r="G1890" s="3" t="s">
        <v>1933</v>
      </c>
    </row>
    <row r="1891" ht="14.25" customHeight="1">
      <c r="G1891" s="3" t="s">
        <v>1934</v>
      </c>
    </row>
    <row r="1892" ht="14.25" customHeight="1">
      <c r="G1892" s="3" t="s">
        <v>1935</v>
      </c>
    </row>
    <row r="1893" ht="14.25" customHeight="1">
      <c r="G1893" s="3" t="s">
        <v>1936</v>
      </c>
    </row>
    <row r="1894" ht="14.25" customHeight="1">
      <c r="G1894" s="3" t="s">
        <v>1937</v>
      </c>
    </row>
    <row r="1895" ht="14.25" customHeight="1">
      <c r="G1895" s="3" t="s">
        <v>1938</v>
      </c>
    </row>
    <row r="1896" ht="14.25" customHeight="1">
      <c r="G1896" s="3" t="s">
        <v>1939</v>
      </c>
    </row>
    <row r="1897" ht="14.25" customHeight="1">
      <c r="G1897" s="3" t="s">
        <v>1940</v>
      </c>
    </row>
    <row r="1898" ht="14.25" customHeight="1">
      <c r="G1898" s="3" t="s">
        <v>1941</v>
      </c>
    </row>
    <row r="1899" ht="14.25" customHeight="1">
      <c r="G1899" s="3" t="s">
        <v>1942</v>
      </c>
    </row>
    <row r="1900" ht="14.25" customHeight="1">
      <c r="G1900" s="3" t="s">
        <v>1943</v>
      </c>
    </row>
    <row r="1901" ht="14.25" customHeight="1">
      <c r="G1901" s="3" t="s">
        <v>1944</v>
      </c>
    </row>
    <row r="1902" ht="14.25" customHeight="1">
      <c r="G1902" s="3" t="s">
        <v>1945</v>
      </c>
    </row>
    <row r="1903" ht="14.25" customHeight="1">
      <c r="G1903" s="3" t="s">
        <v>1946</v>
      </c>
    </row>
    <row r="1904" ht="14.25" customHeight="1">
      <c r="G1904" s="3" t="s">
        <v>1947</v>
      </c>
    </row>
    <row r="1905" ht="14.25" customHeight="1">
      <c r="G1905" s="3" t="s">
        <v>1948</v>
      </c>
    </row>
    <row r="1906" ht="14.25" customHeight="1">
      <c r="G1906" s="3" t="s">
        <v>1949</v>
      </c>
    </row>
    <row r="1907" ht="14.25" customHeight="1">
      <c r="G1907" s="3" t="s">
        <v>1950</v>
      </c>
    </row>
    <row r="1908" ht="14.25" customHeight="1">
      <c r="G1908" s="3" t="s">
        <v>1951</v>
      </c>
    </row>
    <row r="1909" ht="14.25" customHeight="1">
      <c r="G1909" s="3" t="s">
        <v>1952</v>
      </c>
    </row>
    <row r="1910" ht="14.25" customHeight="1">
      <c r="G1910" s="3" t="s">
        <v>1953</v>
      </c>
    </row>
    <row r="1911" ht="14.25" customHeight="1">
      <c r="G1911" s="3" t="s">
        <v>1954</v>
      </c>
    </row>
    <row r="1912" ht="14.25" customHeight="1">
      <c r="G1912" s="3" t="s">
        <v>1955</v>
      </c>
    </row>
    <row r="1913" ht="14.25" customHeight="1">
      <c r="G1913" s="3" t="s">
        <v>1956</v>
      </c>
    </row>
    <row r="1914" ht="14.25" customHeight="1">
      <c r="G1914" s="3" t="s">
        <v>1957</v>
      </c>
    </row>
    <row r="1915" ht="14.25" customHeight="1">
      <c r="G1915" s="3" t="s">
        <v>1958</v>
      </c>
    </row>
    <row r="1916" ht="14.25" customHeight="1">
      <c r="G1916" s="3" t="s">
        <v>1959</v>
      </c>
    </row>
    <row r="1917" ht="14.25" customHeight="1">
      <c r="G1917" s="3" t="s">
        <v>1960</v>
      </c>
    </row>
    <row r="1918" ht="14.25" customHeight="1">
      <c r="G1918" s="3" t="s">
        <v>1961</v>
      </c>
    </row>
    <row r="1919" ht="14.25" customHeight="1">
      <c r="G1919" s="3" t="s">
        <v>1962</v>
      </c>
    </row>
    <row r="1920" ht="14.25" customHeight="1">
      <c r="G1920" s="3" t="s">
        <v>1963</v>
      </c>
    </row>
    <row r="1921" ht="14.25" customHeight="1">
      <c r="G1921" s="3" t="s">
        <v>1964</v>
      </c>
    </row>
    <row r="1922" ht="14.25" customHeight="1">
      <c r="G1922" s="3" t="s">
        <v>1965</v>
      </c>
    </row>
    <row r="1923" ht="14.25" customHeight="1">
      <c r="G1923" s="3" t="s">
        <v>1966</v>
      </c>
    </row>
    <row r="1924" ht="14.25" customHeight="1">
      <c r="G1924" s="3" t="s">
        <v>1967</v>
      </c>
    </row>
    <row r="1925" ht="14.25" customHeight="1">
      <c r="G1925" s="3" t="s">
        <v>1968</v>
      </c>
    </row>
    <row r="1926" ht="14.25" customHeight="1">
      <c r="G1926" s="3" t="s">
        <v>1969</v>
      </c>
    </row>
    <row r="1927" ht="14.25" customHeight="1">
      <c r="G1927" s="3" t="s">
        <v>1970</v>
      </c>
    </row>
    <row r="1928" ht="14.25" customHeight="1">
      <c r="G1928" s="3" t="s">
        <v>1971</v>
      </c>
    </row>
    <row r="1929" ht="14.25" customHeight="1">
      <c r="G1929" s="3" t="s">
        <v>1972</v>
      </c>
    </row>
    <row r="1930" ht="14.25" customHeight="1">
      <c r="G1930" s="3" t="s">
        <v>1973</v>
      </c>
    </row>
    <row r="1931" ht="14.25" customHeight="1">
      <c r="G1931" s="3" t="s">
        <v>1974</v>
      </c>
    </row>
    <row r="1932" ht="14.25" customHeight="1">
      <c r="G1932" s="3" t="s">
        <v>1975</v>
      </c>
    </row>
    <row r="1933" ht="14.25" customHeight="1">
      <c r="G1933" s="3" t="s">
        <v>1976</v>
      </c>
    </row>
    <row r="1934" ht="14.25" customHeight="1">
      <c r="G1934" s="3" t="s">
        <v>1977</v>
      </c>
    </row>
    <row r="1935" ht="14.25" customHeight="1">
      <c r="G1935" s="3" t="s">
        <v>1978</v>
      </c>
    </row>
    <row r="1936" ht="14.25" customHeight="1">
      <c r="G1936" s="3" t="s">
        <v>1979</v>
      </c>
    </row>
    <row r="1937" ht="14.25" customHeight="1">
      <c r="G1937" s="3" t="s">
        <v>1980</v>
      </c>
    </row>
    <row r="1938" ht="14.25" customHeight="1">
      <c r="G1938" s="3" t="s">
        <v>1981</v>
      </c>
    </row>
    <row r="1939" ht="14.25" customHeight="1">
      <c r="G1939" s="3" t="s">
        <v>1982</v>
      </c>
    </row>
    <row r="1940" ht="14.25" customHeight="1">
      <c r="G1940" s="3" t="s">
        <v>1983</v>
      </c>
    </row>
    <row r="1941" ht="14.25" customHeight="1">
      <c r="G1941" s="3" t="s">
        <v>1984</v>
      </c>
    </row>
    <row r="1942" ht="14.25" customHeight="1">
      <c r="G1942" s="3" t="s">
        <v>1985</v>
      </c>
    </row>
    <row r="1943" ht="14.25" customHeight="1">
      <c r="G1943" s="3" t="s">
        <v>1986</v>
      </c>
    </row>
    <row r="1944" ht="14.25" customHeight="1">
      <c r="G1944" s="3" t="s">
        <v>1987</v>
      </c>
    </row>
    <row r="1945" ht="14.25" customHeight="1">
      <c r="G1945" s="3" t="s">
        <v>1988</v>
      </c>
    </row>
    <row r="1946" ht="14.25" customHeight="1">
      <c r="G1946" s="3" t="s">
        <v>1989</v>
      </c>
    </row>
    <row r="1947" ht="14.25" customHeight="1">
      <c r="G1947" s="3" t="s">
        <v>1990</v>
      </c>
    </row>
    <row r="1948" ht="14.25" customHeight="1">
      <c r="G1948" s="3" t="s">
        <v>1991</v>
      </c>
    </row>
    <row r="1949" ht="14.25" customHeight="1">
      <c r="G1949" s="3" t="s">
        <v>1992</v>
      </c>
    </row>
    <row r="1950" ht="14.25" customHeight="1">
      <c r="G1950" s="3" t="s">
        <v>1993</v>
      </c>
    </row>
    <row r="1951" ht="14.25" customHeight="1">
      <c r="G1951" s="3" t="s">
        <v>1994</v>
      </c>
    </row>
    <row r="1952" ht="14.25" customHeight="1">
      <c r="G1952" s="3" t="s">
        <v>1995</v>
      </c>
    </row>
    <row r="1953" ht="14.25" customHeight="1">
      <c r="G1953" s="3" t="s">
        <v>1996</v>
      </c>
    </row>
    <row r="1954" ht="14.25" customHeight="1">
      <c r="G1954" s="3" t="s">
        <v>1997</v>
      </c>
    </row>
    <row r="1955" ht="14.25" customHeight="1">
      <c r="G1955" s="3" t="s">
        <v>1998</v>
      </c>
    </row>
    <row r="1956" ht="14.25" customHeight="1">
      <c r="G1956" s="3" t="s">
        <v>1999</v>
      </c>
    </row>
    <row r="1957" ht="14.25" customHeight="1">
      <c r="G1957" s="3" t="s">
        <v>2000</v>
      </c>
    </row>
    <row r="1958" ht="14.25" customHeight="1">
      <c r="G1958" s="3" t="s">
        <v>2001</v>
      </c>
    </row>
    <row r="1959" ht="14.25" customHeight="1">
      <c r="G1959" s="3" t="s">
        <v>2002</v>
      </c>
    </row>
    <row r="1960" ht="14.25" customHeight="1">
      <c r="G1960" s="3" t="s">
        <v>2003</v>
      </c>
    </row>
    <row r="1961" ht="14.25" customHeight="1">
      <c r="G1961" s="3" t="s">
        <v>2004</v>
      </c>
    </row>
    <row r="1962" ht="14.25" customHeight="1">
      <c r="G1962" s="3" t="s">
        <v>2005</v>
      </c>
    </row>
    <row r="1963" ht="14.25" customHeight="1">
      <c r="G1963" s="3" t="s">
        <v>2006</v>
      </c>
    </row>
    <row r="1964" ht="14.25" customHeight="1">
      <c r="G1964" s="3" t="s">
        <v>2007</v>
      </c>
    </row>
    <row r="1965" ht="14.25" customHeight="1">
      <c r="G1965" s="3" t="s">
        <v>2008</v>
      </c>
    </row>
    <row r="1966" ht="14.25" customHeight="1">
      <c r="G1966" s="3" t="s">
        <v>2009</v>
      </c>
    </row>
    <row r="1967" ht="14.25" customHeight="1">
      <c r="G1967" s="3" t="s">
        <v>2010</v>
      </c>
    </row>
    <row r="1968" ht="14.25" customHeight="1">
      <c r="G1968" s="3" t="s">
        <v>2011</v>
      </c>
    </row>
    <row r="1969" ht="14.25" customHeight="1">
      <c r="G1969" s="3" t="s">
        <v>2012</v>
      </c>
    </row>
    <row r="1970" ht="14.25" customHeight="1">
      <c r="G1970" s="3" t="s">
        <v>2013</v>
      </c>
    </row>
    <row r="1971" ht="14.25" customHeight="1">
      <c r="G1971" s="3" t="s">
        <v>2014</v>
      </c>
    </row>
    <row r="1972" ht="14.25" customHeight="1">
      <c r="G1972" s="3" t="s">
        <v>2015</v>
      </c>
    </row>
    <row r="1973" ht="14.25" customHeight="1">
      <c r="G1973" s="3" t="s">
        <v>2016</v>
      </c>
    </row>
    <row r="1974" ht="14.25" customHeight="1">
      <c r="G1974" s="3" t="s">
        <v>2017</v>
      </c>
    </row>
    <row r="1975" ht="14.25" customHeight="1">
      <c r="G1975" s="3" t="s">
        <v>2018</v>
      </c>
    </row>
    <row r="1976" ht="14.25" customHeight="1">
      <c r="G1976" s="3" t="s">
        <v>2019</v>
      </c>
    </row>
    <row r="1977" ht="14.25" customHeight="1">
      <c r="G1977" s="3" t="s">
        <v>2020</v>
      </c>
    </row>
    <row r="1978" ht="14.25" customHeight="1">
      <c r="G1978" s="3" t="s">
        <v>2021</v>
      </c>
    </row>
    <row r="1979" ht="14.25" customHeight="1">
      <c r="G1979" s="3" t="s">
        <v>2022</v>
      </c>
    </row>
    <row r="1980" ht="14.25" customHeight="1">
      <c r="G1980" s="3" t="s">
        <v>2023</v>
      </c>
    </row>
    <row r="1981" ht="14.25" customHeight="1">
      <c r="G1981" s="3" t="s">
        <v>2024</v>
      </c>
    </row>
    <row r="1982" ht="14.25" customHeight="1">
      <c r="G1982" s="3" t="s">
        <v>2025</v>
      </c>
    </row>
    <row r="1983" ht="14.25" customHeight="1">
      <c r="G1983" s="3" t="s">
        <v>2026</v>
      </c>
    </row>
    <row r="1984" ht="14.25" customHeight="1">
      <c r="G1984" s="3" t="s">
        <v>2027</v>
      </c>
    </row>
    <row r="1985" ht="14.25" customHeight="1">
      <c r="G1985" s="3" t="s">
        <v>2028</v>
      </c>
    </row>
    <row r="1986" ht="14.25" customHeight="1">
      <c r="G1986" s="3" t="s">
        <v>2029</v>
      </c>
    </row>
    <row r="1987" ht="14.25" customHeight="1">
      <c r="G1987" s="3" t="s">
        <v>2030</v>
      </c>
    </row>
    <row r="1988" ht="14.25" customHeight="1">
      <c r="G1988" s="3" t="s">
        <v>2031</v>
      </c>
    </row>
    <row r="1989" ht="14.25" customHeight="1">
      <c r="G1989" s="3" t="s">
        <v>2032</v>
      </c>
    </row>
    <row r="1990" ht="14.25" customHeight="1">
      <c r="G1990" s="3" t="s">
        <v>2033</v>
      </c>
    </row>
    <row r="1991" ht="14.25" customHeight="1">
      <c r="G1991" s="3" t="s">
        <v>2034</v>
      </c>
    </row>
    <row r="1992" ht="14.25" customHeight="1">
      <c r="G1992" s="3" t="s">
        <v>2035</v>
      </c>
    </row>
    <row r="1993" ht="14.25" customHeight="1">
      <c r="G1993" s="3" t="s">
        <v>2036</v>
      </c>
    </row>
    <row r="1994" ht="14.25" customHeight="1">
      <c r="G1994" s="3" t="s">
        <v>2037</v>
      </c>
    </row>
    <row r="1995" ht="14.25" customHeight="1">
      <c r="G1995" s="3" t="s">
        <v>2038</v>
      </c>
    </row>
    <row r="1996" ht="14.25" customHeight="1">
      <c r="G1996" s="3" t="s">
        <v>2039</v>
      </c>
    </row>
    <row r="1997" ht="14.25" customHeight="1">
      <c r="G1997" s="3" t="s">
        <v>2040</v>
      </c>
    </row>
    <row r="1998" ht="14.25" customHeight="1">
      <c r="G1998" s="3" t="s">
        <v>2041</v>
      </c>
    </row>
    <row r="1999" ht="14.25" customHeight="1">
      <c r="G1999" s="3" t="s">
        <v>2042</v>
      </c>
    </row>
    <row r="2000" ht="14.25" customHeight="1">
      <c r="G2000" s="3" t="s">
        <v>2043</v>
      </c>
    </row>
    <row r="2001" ht="14.25" customHeight="1">
      <c r="G2001" s="3" t="s">
        <v>2044</v>
      </c>
    </row>
    <row r="2002" ht="14.25" customHeight="1">
      <c r="G2002" s="3" t="s">
        <v>2045</v>
      </c>
    </row>
    <row r="2003" ht="14.25" customHeight="1">
      <c r="G2003" s="3" t="s">
        <v>2046</v>
      </c>
    </row>
    <row r="2004" ht="14.25" customHeight="1">
      <c r="G2004" s="3" t="s">
        <v>2047</v>
      </c>
    </row>
    <row r="2005" ht="14.25" customHeight="1">
      <c r="G2005" s="3" t="s">
        <v>2048</v>
      </c>
    </row>
    <row r="2006" ht="14.25" customHeight="1">
      <c r="G2006" s="3" t="s">
        <v>2049</v>
      </c>
    </row>
    <row r="2007" ht="14.25" customHeight="1">
      <c r="G2007" s="3" t="s">
        <v>2050</v>
      </c>
    </row>
    <row r="2008" ht="14.25" customHeight="1">
      <c r="G2008" s="3" t="s">
        <v>2051</v>
      </c>
    </row>
    <row r="2009" ht="14.25" customHeight="1">
      <c r="G2009" s="3" t="s">
        <v>2052</v>
      </c>
    </row>
    <row r="2010" ht="14.25" customHeight="1">
      <c r="G2010" s="3" t="s">
        <v>2053</v>
      </c>
    </row>
    <row r="2011" ht="14.25" customHeight="1">
      <c r="G2011" s="3" t="s">
        <v>2054</v>
      </c>
    </row>
    <row r="2012" ht="14.25" customHeight="1">
      <c r="G2012" s="3" t="s">
        <v>2055</v>
      </c>
    </row>
    <row r="2013" ht="14.25" customHeight="1">
      <c r="G2013" s="3" t="s">
        <v>2056</v>
      </c>
    </row>
    <row r="2014" ht="14.25" customHeight="1">
      <c r="G2014" s="3" t="s">
        <v>2057</v>
      </c>
    </row>
    <row r="2015" ht="14.25" customHeight="1">
      <c r="G2015" s="3" t="s">
        <v>2058</v>
      </c>
    </row>
    <row r="2016" ht="14.25" customHeight="1">
      <c r="G2016" s="3" t="s">
        <v>2059</v>
      </c>
    </row>
    <row r="2017" ht="14.25" customHeight="1">
      <c r="G2017" s="3" t="s">
        <v>2060</v>
      </c>
    </row>
    <row r="2018" ht="14.25" customHeight="1">
      <c r="G2018" s="3" t="s">
        <v>2061</v>
      </c>
    </row>
    <row r="2019" ht="14.25" customHeight="1">
      <c r="G2019" s="3" t="s">
        <v>2062</v>
      </c>
    </row>
    <row r="2020" ht="14.25" customHeight="1">
      <c r="G2020" s="3" t="s">
        <v>2063</v>
      </c>
    </row>
    <row r="2021" ht="14.25" customHeight="1">
      <c r="G2021" s="3" t="s">
        <v>2064</v>
      </c>
    </row>
    <row r="2022" ht="14.25" customHeight="1">
      <c r="G2022" s="3" t="s">
        <v>2065</v>
      </c>
    </row>
    <row r="2023" ht="14.25" customHeight="1">
      <c r="G2023" s="3" t="s">
        <v>2066</v>
      </c>
    </row>
    <row r="2024" ht="14.25" customHeight="1">
      <c r="G2024" s="3" t="s">
        <v>2067</v>
      </c>
    </row>
    <row r="2025" ht="14.25" customHeight="1">
      <c r="G2025" s="3" t="s">
        <v>2068</v>
      </c>
    </row>
    <row r="2026" ht="14.25" customHeight="1">
      <c r="G2026" s="3" t="s">
        <v>2069</v>
      </c>
    </row>
    <row r="2027" ht="14.25" customHeight="1">
      <c r="G2027" s="3" t="s">
        <v>2070</v>
      </c>
    </row>
    <row r="2028" ht="14.25" customHeight="1">
      <c r="G2028" s="3" t="s">
        <v>2071</v>
      </c>
    </row>
    <row r="2029" ht="14.25" customHeight="1">
      <c r="G2029" s="3" t="s">
        <v>2072</v>
      </c>
    </row>
    <row r="2030" ht="14.25" customHeight="1">
      <c r="G2030" s="3" t="s">
        <v>2073</v>
      </c>
    </row>
    <row r="2031" ht="14.25" customHeight="1">
      <c r="G2031" s="3" t="s">
        <v>2074</v>
      </c>
    </row>
    <row r="2032" ht="14.25" customHeight="1">
      <c r="G2032" s="3" t="s">
        <v>2075</v>
      </c>
    </row>
    <row r="2033" ht="14.25" customHeight="1">
      <c r="G2033" s="3" t="s">
        <v>2076</v>
      </c>
    </row>
    <row r="2034" ht="14.25" customHeight="1">
      <c r="G2034" s="3" t="s">
        <v>2077</v>
      </c>
    </row>
    <row r="2035" ht="14.25" customHeight="1">
      <c r="G2035" s="3" t="s">
        <v>2078</v>
      </c>
    </row>
    <row r="2036" ht="14.25" customHeight="1">
      <c r="G2036" s="3" t="s">
        <v>2079</v>
      </c>
    </row>
    <row r="2037" ht="14.25" customHeight="1">
      <c r="G2037" s="3" t="s">
        <v>2080</v>
      </c>
    </row>
    <row r="2038" ht="14.25" customHeight="1">
      <c r="G2038" s="3" t="s">
        <v>2081</v>
      </c>
    </row>
    <row r="2039" ht="14.25" customHeight="1">
      <c r="G2039" s="3" t="s">
        <v>2082</v>
      </c>
    </row>
    <row r="2040" ht="14.25" customHeight="1">
      <c r="G2040" s="3" t="s">
        <v>2083</v>
      </c>
    </row>
    <row r="2041" ht="14.25" customHeight="1">
      <c r="G2041" s="3" t="s">
        <v>2084</v>
      </c>
    </row>
    <row r="2042" ht="14.25" customHeight="1">
      <c r="G2042" s="3" t="s">
        <v>2085</v>
      </c>
    </row>
    <row r="2043" ht="14.25" customHeight="1">
      <c r="G2043" s="3" t="s">
        <v>2086</v>
      </c>
    </row>
    <row r="2044" ht="14.25" customHeight="1">
      <c r="G2044" s="3" t="s">
        <v>2087</v>
      </c>
    </row>
    <row r="2045" ht="14.25" customHeight="1">
      <c r="G2045" s="3" t="s">
        <v>2088</v>
      </c>
    </row>
    <row r="2046" ht="14.25" customHeight="1">
      <c r="G2046" s="3" t="s">
        <v>2089</v>
      </c>
    </row>
    <row r="2047" ht="14.25" customHeight="1">
      <c r="G2047" s="3" t="s">
        <v>2090</v>
      </c>
    </row>
    <row r="2048" ht="14.25" customHeight="1">
      <c r="G2048" s="3" t="s">
        <v>2091</v>
      </c>
    </row>
    <row r="2049" ht="14.25" customHeight="1">
      <c r="G2049" s="3" t="s">
        <v>2092</v>
      </c>
    </row>
    <row r="2050" ht="14.25" customHeight="1">
      <c r="G2050" s="3" t="s">
        <v>2093</v>
      </c>
    </row>
    <row r="2051" ht="14.25" customHeight="1">
      <c r="G2051" s="3" t="s">
        <v>2094</v>
      </c>
    </row>
    <row r="2052" ht="14.25" customHeight="1">
      <c r="G2052" s="3" t="s">
        <v>2095</v>
      </c>
    </row>
    <row r="2053" ht="14.25" customHeight="1">
      <c r="G2053" s="3" t="s">
        <v>2096</v>
      </c>
    </row>
    <row r="2054" ht="14.25" customHeight="1">
      <c r="G2054" s="3" t="s">
        <v>2097</v>
      </c>
    </row>
    <row r="2055" ht="14.25" customHeight="1">
      <c r="G2055" s="3" t="s">
        <v>2098</v>
      </c>
    </row>
    <row r="2056" ht="14.25" customHeight="1">
      <c r="G2056" s="3" t="s">
        <v>2099</v>
      </c>
    </row>
    <row r="2057" ht="14.25" customHeight="1">
      <c r="G2057" s="3" t="s">
        <v>2100</v>
      </c>
    </row>
    <row r="2058" ht="14.25" customHeight="1">
      <c r="G2058" s="3" t="s">
        <v>2101</v>
      </c>
    </row>
    <row r="2059" ht="14.25" customHeight="1">
      <c r="G2059" s="3" t="s">
        <v>2102</v>
      </c>
    </row>
    <row r="2060" ht="14.25" customHeight="1">
      <c r="G2060" s="3" t="s">
        <v>2103</v>
      </c>
    </row>
    <row r="2061" ht="14.25" customHeight="1">
      <c r="G2061" s="3" t="s">
        <v>2104</v>
      </c>
    </row>
    <row r="2062" ht="14.25" customHeight="1">
      <c r="G2062" s="3" t="s">
        <v>2105</v>
      </c>
    </row>
    <row r="2063" ht="14.25" customHeight="1">
      <c r="G2063" s="3" t="s">
        <v>2106</v>
      </c>
    </row>
    <row r="2064" ht="14.25" customHeight="1">
      <c r="G2064" s="3" t="s">
        <v>2107</v>
      </c>
    </row>
    <row r="2065" ht="14.25" customHeight="1">
      <c r="G2065" s="3" t="s">
        <v>2108</v>
      </c>
    </row>
    <row r="2066" ht="14.25" customHeight="1">
      <c r="G2066" s="3" t="s">
        <v>2109</v>
      </c>
    </row>
    <row r="2067" ht="14.25" customHeight="1">
      <c r="G2067" s="3" t="s">
        <v>2110</v>
      </c>
    </row>
    <row r="2068" ht="14.25" customHeight="1">
      <c r="G2068" s="3" t="s">
        <v>2111</v>
      </c>
    </row>
    <row r="2069" ht="14.25" customHeight="1">
      <c r="G2069" s="3" t="s">
        <v>2112</v>
      </c>
    </row>
    <row r="2070" ht="14.25" customHeight="1">
      <c r="G2070" s="3" t="s">
        <v>2113</v>
      </c>
    </row>
    <row r="2071" ht="14.25" customHeight="1">
      <c r="G2071" s="3" t="s">
        <v>2114</v>
      </c>
    </row>
    <row r="2072" ht="14.25" customHeight="1">
      <c r="G2072" s="3" t="s">
        <v>2115</v>
      </c>
    </row>
    <row r="2073" ht="14.25" customHeight="1">
      <c r="G2073" s="3" t="s">
        <v>2116</v>
      </c>
    </row>
    <row r="2074" ht="14.25" customHeight="1">
      <c r="G2074" s="3" t="s">
        <v>2117</v>
      </c>
    </row>
    <row r="2075" ht="14.25" customHeight="1">
      <c r="G2075" s="3" t="s">
        <v>2118</v>
      </c>
    </row>
    <row r="2076" ht="14.25" customHeight="1">
      <c r="G2076" s="3" t="s">
        <v>2119</v>
      </c>
    </row>
    <row r="2077" ht="14.25" customHeight="1">
      <c r="G2077" s="3" t="s">
        <v>2120</v>
      </c>
    </row>
    <row r="2078" ht="14.25" customHeight="1">
      <c r="G2078" s="3" t="s">
        <v>2121</v>
      </c>
    </row>
    <row r="2079" ht="14.25" customHeight="1">
      <c r="G2079" s="3" t="s">
        <v>2122</v>
      </c>
    </row>
    <row r="2080" ht="14.25" customHeight="1">
      <c r="G2080" s="3" t="s">
        <v>2123</v>
      </c>
    </row>
    <row r="2081" ht="14.25" customHeight="1">
      <c r="G2081" s="3" t="s">
        <v>2124</v>
      </c>
    </row>
    <row r="2082" ht="14.25" customHeight="1">
      <c r="G2082" s="3" t="s">
        <v>2125</v>
      </c>
    </row>
    <row r="2083" ht="14.25" customHeight="1">
      <c r="G2083" s="3" t="s">
        <v>2126</v>
      </c>
    </row>
    <row r="2084" ht="14.25" customHeight="1">
      <c r="G2084" s="3" t="s">
        <v>2127</v>
      </c>
    </row>
    <row r="2085" ht="14.25" customHeight="1">
      <c r="G2085" s="3" t="s">
        <v>2128</v>
      </c>
    </row>
    <row r="2086" ht="14.25" customHeight="1">
      <c r="G2086" s="3" t="s">
        <v>2129</v>
      </c>
    </row>
    <row r="2087" ht="14.25" customHeight="1">
      <c r="G2087" s="3" t="s">
        <v>2130</v>
      </c>
    </row>
    <row r="2088" ht="14.25" customHeight="1">
      <c r="G2088" s="3" t="s">
        <v>2131</v>
      </c>
    </row>
    <row r="2089" ht="14.25" customHeight="1">
      <c r="G2089" s="3" t="s">
        <v>2132</v>
      </c>
    </row>
    <row r="2090" ht="14.25" customHeight="1">
      <c r="G2090" s="3" t="s">
        <v>2133</v>
      </c>
    </row>
    <row r="2091" ht="14.25" customHeight="1">
      <c r="G2091" s="3" t="s">
        <v>2134</v>
      </c>
    </row>
    <row r="2092" ht="14.25" customHeight="1">
      <c r="G2092" s="3" t="s">
        <v>2135</v>
      </c>
    </row>
    <row r="2093" ht="14.25" customHeight="1">
      <c r="G2093" s="3" t="s">
        <v>2136</v>
      </c>
    </row>
    <row r="2094" ht="14.25" customHeight="1">
      <c r="G2094" s="3" t="s">
        <v>2137</v>
      </c>
    </row>
    <row r="2095" ht="14.25" customHeight="1">
      <c r="G2095" s="3" t="s">
        <v>2138</v>
      </c>
    </row>
    <row r="2096" ht="14.25" customHeight="1">
      <c r="G2096" s="3" t="s">
        <v>2139</v>
      </c>
    </row>
    <row r="2097" ht="14.25" customHeight="1">
      <c r="G2097" s="3" t="s">
        <v>2140</v>
      </c>
    </row>
    <row r="2098" ht="14.25" customHeight="1">
      <c r="G2098" s="3" t="s">
        <v>2141</v>
      </c>
    </row>
    <row r="2099" ht="14.25" customHeight="1">
      <c r="G2099" s="3" t="s">
        <v>2142</v>
      </c>
    </row>
    <row r="2100" ht="14.25" customHeight="1">
      <c r="G2100" s="3" t="s">
        <v>2143</v>
      </c>
    </row>
    <row r="2101" ht="14.25" customHeight="1">
      <c r="G2101" s="3" t="s">
        <v>2144</v>
      </c>
    </row>
    <row r="2102" ht="14.25" customHeight="1">
      <c r="G2102" s="3" t="s">
        <v>2145</v>
      </c>
    </row>
    <row r="2103" ht="14.25" customHeight="1">
      <c r="G2103" s="3" t="s">
        <v>2146</v>
      </c>
    </row>
    <row r="2104" ht="14.25" customHeight="1">
      <c r="G2104" s="3" t="s">
        <v>2147</v>
      </c>
    </row>
    <row r="2105" ht="14.25" customHeight="1">
      <c r="G2105" s="3" t="s">
        <v>2148</v>
      </c>
    </row>
    <row r="2106" ht="14.25" customHeight="1">
      <c r="G2106" s="3" t="s">
        <v>2149</v>
      </c>
    </row>
    <row r="2107" ht="14.25" customHeight="1">
      <c r="G2107" s="3" t="s">
        <v>2150</v>
      </c>
    </row>
    <row r="2108" ht="14.25" customHeight="1">
      <c r="G2108" s="3" t="s">
        <v>2151</v>
      </c>
    </row>
    <row r="2109" ht="14.25" customHeight="1">
      <c r="G2109" s="3" t="s">
        <v>2152</v>
      </c>
    </row>
    <row r="2110" ht="14.25" customHeight="1">
      <c r="G2110" s="3" t="s">
        <v>2153</v>
      </c>
    </row>
    <row r="2111" ht="14.25" customHeight="1">
      <c r="G2111" s="3" t="s">
        <v>2154</v>
      </c>
    </row>
    <row r="2112" ht="14.25" customHeight="1">
      <c r="G2112" s="3" t="s">
        <v>2155</v>
      </c>
    </row>
    <row r="2113" ht="14.25" customHeight="1">
      <c r="G2113" s="3" t="s">
        <v>2156</v>
      </c>
    </row>
    <row r="2114" ht="14.25" customHeight="1">
      <c r="G2114" s="3" t="s">
        <v>2157</v>
      </c>
    </row>
    <row r="2115" ht="14.25" customHeight="1">
      <c r="G2115" s="3" t="s">
        <v>2158</v>
      </c>
    </row>
    <row r="2116" ht="14.25" customHeight="1">
      <c r="G2116" s="3" t="s">
        <v>2159</v>
      </c>
    </row>
    <row r="2117" ht="14.25" customHeight="1">
      <c r="G2117" s="3" t="s">
        <v>2160</v>
      </c>
    </row>
    <row r="2118" ht="14.25" customHeight="1">
      <c r="G2118" s="3" t="s">
        <v>2161</v>
      </c>
    </row>
    <row r="2119" ht="14.25" customHeight="1">
      <c r="G2119" s="3" t="s">
        <v>2162</v>
      </c>
    </row>
    <row r="2120" ht="14.25" customHeight="1">
      <c r="G2120" s="3" t="s">
        <v>2163</v>
      </c>
    </row>
    <row r="2121" ht="14.25" customHeight="1">
      <c r="G2121" s="3" t="s">
        <v>2164</v>
      </c>
    </row>
    <row r="2122" ht="14.25" customHeight="1">
      <c r="G2122" s="3" t="s">
        <v>2165</v>
      </c>
    </row>
    <row r="2123" ht="14.25" customHeight="1">
      <c r="G2123" s="3" t="s">
        <v>2166</v>
      </c>
    </row>
    <row r="2124" ht="14.25" customHeight="1">
      <c r="G2124" s="3" t="s">
        <v>2167</v>
      </c>
    </row>
    <row r="2125" ht="14.25" customHeight="1">
      <c r="G2125" s="3" t="s">
        <v>2168</v>
      </c>
    </row>
    <row r="2126" ht="14.25" customHeight="1">
      <c r="G2126" s="3" t="s">
        <v>2169</v>
      </c>
    </row>
    <row r="2127" ht="14.25" customHeight="1">
      <c r="G2127" s="3" t="s">
        <v>2170</v>
      </c>
    </row>
    <row r="2128" ht="14.25" customHeight="1">
      <c r="G2128" s="3" t="s">
        <v>2171</v>
      </c>
    </row>
    <row r="2129" ht="14.25" customHeight="1">
      <c r="G2129" s="3" t="s">
        <v>2172</v>
      </c>
    </row>
    <row r="2130" ht="14.25" customHeight="1">
      <c r="G2130" s="3" t="s">
        <v>2173</v>
      </c>
    </row>
    <row r="2131" ht="14.25" customHeight="1">
      <c r="G2131" s="3" t="s">
        <v>2174</v>
      </c>
    </row>
    <row r="2132" ht="14.25" customHeight="1">
      <c r="G2132" s="3" t="s">
        <v>2175</v>
      </c>
    </row>
    <row r="2133" ht="14.25" customHeight="1">
      <c r="G2133" s="3" t="s">
        <v>2176</v>
      </c>
    </row>
    <row r="2134" ht="14.25" customHeight="1">
      <c r="G2134" s="3" t="s">
        <v>2177</v>
      </c>
    </row>
    <row r="2135" ht="14.25" customHeight="1">
      <c r="G2135" s="3" t="s">
        <v>2178</v>
      </c>
    </row>
    <row r="2136" ht="14.25" customHeight="1">
      <c r="G2136" s="3" t="s">
        <v>2179</v>
      </c>
    </row>
    <row r="2137" ht="14.25" customHeight="1">
      <c r="G2137" s="3" t="s">
        <v>2180</v>
      </c>
    </row>
    <row r="2138" ht="14.25" customHeight="1">
      <c r="G2138" s="3" t="s">
        <v>2181</v>
      </c>
    </row>
    <row r="2139" ht="14.25" customHeight="1">
      <c r="G2139" s="3" t="s">
        <v>2182</v>
      </c>
    </row>
    <row r="2140" ht="14.25" customHeight="1">
      <c r="G2140" s="3" t="s">
        <v>2183</v>
      </c>
    </row>
    <row r="2141" ht="14.25" customHeight="1">
      <c r="G2141" s="3" t="s">
        <v>2184</v>
      </c>
    </row>
    <row r="2142" ht="14.25" customHeight="1">
      <c r="G2142" s="3" t="s">
        <v>2185</v>
      </c>
    </row>
    <row r="2143" ht="14.25" customHeight="1">
      <c r="G2143" s="3" t="s">
        <v>2186</v>
      </c>
    </row>
    <row r="2144" ht="14.25" customHeight="1">
      <c r="G2144" s="3" t="s">
        <v>2187</v>
      </c>
    </row>
    <row r="2145" ht="14.25" customHeight="1">
      <c r="G2145" s="3" t="s">
        <v>2188</v>
      </c>
    </row>
    <row r="2146" ht="14.25" customHeight="1">
      <c r="G2146" s="3" t="s">
        <v>2189</v>
      </c>
    </row>
    <row r="2147" ht="14.25" customHeight="1">
      <c r="G2147" s="3" t="s">
        <v>2190</v>
      </c>
    </row>
    <row r="2148" ht="14.25" customHeight="1">
      <c r="G2148" s="3" t="s">
        <v>2191</v>
      </c>
    </row>
    <row r="2149" ht="14.25" customHeight="1">
      <c r="G2149" s="3" t="s">
        <v>2192</v>
      </c>
    </row>
    <row r="2150" ht="14.25" customHeight="1">
      <c r="G2150" s="3" t="s">
        <v>2193</v>
      </c>
    </row>
    <row r="2151" ht="14.25" customHeight="1">
      <c r="G2151" s="3" t="s">
        <v>2194</v>
      </c>
    </row>
    <row r="2152" ht="14.25" customHeight="1">
      <c r="G2152" s="3" t="s">
        <v>2195</v>
      </c>
    </row>
    <row r="2153" ht="14.25" customHeight="1">
      <c r="G2153" s="3" t="s">
        <v>2196</v>
      </c>
    </row>
    <row r="2154" ht="14.25" customHeight="1">
      <c r="G2154" s="3" t="s">
        <v>2197</v>
      </c>
    </row>
    <row r="2155" ht="14.25" customHeight="1">
      <c r="G2155" s="3" t="s">
        <v>2198</v>
      </c>
    </row>
    <row r="2156" ht="14.25" customHeight="1">
      <c r="G2156" s="3" t="s">
        <v>2199</v>
      </c>
    </row>
    <row r="2157" ht="14.25" customHeight="1">
      <c r="G2157" s="3" t="s">
        <v>2200</v>
      </c>
    </row>
    <row r="2158" ht="14.25" customHeight="1">
      <c r="G2158" s="3" t="s">
        <v>2201</v>
      </c>
    </row>
    <row r="2159" ht="14.25" customHeight="1">
      <c r="G2159" s="3" t="s">
        <v>2202</v>
      </c>
    </row>
    <row r="2160" ht="14.25" customHeight="1">
      <c r="G2160" s="3" t="s">
        <v>2203</v>
      </c>
    </row>
    <row r="2161" ht="14.25" customHeight="1">
      <c r="G2161" s="3" t="s">
        <v>2204</v>
      </c>
    </row>
    <row r="2162" ht="14.25" customHeight="1">
      <c r="G2162" s="3" t="s">
        <v>2205</v>
      </c>
    </row>
    <row r="2163" ht="14.25" customHeight="1">
      <c r="G2163" s="3" t="s">
        <v>2206</v>
      </c>
    </row>
    <row r="2164" ht="14.25" customHeight="1">
      <c r="G2164" s="3" t="s">
        <v>2207</v>
      </c>
    </row>
    <row r="2165" ht="14.25" customHeight="1">
      <c r="G2165" s="3" t="s">
        <v>2208</v>
      </c>
    </row>
    <row r="2166" ht="14.25" customHeight="1">
      <c r="G2166" s="3" t="s">
        <v>2209</v>
      </c>
    </row>
    <row r="2167" ht="14.25" customHeight="1">
      <c r="G2167" s="3" t="s">
        <v>2210</v>
      </c>
    </row>
    <row r="2168" ht="14.25" customHeight="1">
      <c r="G2168" s="3" t="s">
        <v>2211</v>
      </c>
    </row>
    <row r="2169" ht="14.25" customHeight="1">
      <c r="G2169" s="3" t="s">
        <v>2212</v>
      </c>
    </row>
    <row r="2170" ht="14.25" customHeight="1">
      <c r="G2170" s="3" t="s">
        <v>2213</v>
      </c>
    </row>
    <row r="2171" ht="14.25" customHeight="1">
      <c r="G2171" s="3" t="s">
        <v>2214</v>
      </c>
    </row>
    <row r="2172" ht="14.25" customHeight="1">
      <c r="G2172" s="3" t="s">
        <v>2215</v>
      </c>
    </row>
    <row r="2173" ht="14.25" customHeight="1">
      <c r="G2173" s="3" t="s">
        <v>2216</v>
      </c>
    </row>
    <row r="2174" ht="14.25" customHeight="1">
      <c r="G2174" s="3" t="s">
        <v>2217</v>
      </c>
    </row>
    <row r="2175" ht="14.25" customHeight="1">
      <c r="G2175" s="3" t="s">
        <v>2218</v>
      </c>
    </row>
    <row r="2176" ht="14.25" customHeight="1">
      <c r="G2176" s="3" t="s">
        <v>2219</v>
      </c>
    </row>
    <row r="2177" ht="14.25" customHeight="1">
      <c r="G2177" s="3" t="s">
        <v>2220</v>
      </c>
    </row>
    <row r="2178" ht="14.25" customHeight="1">
      <c r="G2178" s="3" t="s">
        <v>2221</v>
      </c>
    </row>
    <row r="2179" ht="14.25" customHeight="1">
      <c r="G2179" s="3" t="s">
        <v>2222</v>
      </c>
    </row>
    <row r="2180" ht="14.25" customHeight="1">
      <c r="G2180" s="3" t="s">
        <v>2223</v>
      </c>
    </row>
    <row r="2181" ht="14.25" customHeight="1">
      <c r="G2181" s="3" t="s">
        <v>2224</v>
      </c>
    </row>
    <row r="2182" ht="14.25" customHeight="1">
      <c r="G2182" s="3" t="s">
        <v>2225</v>
      </c>
    </row>
    <row r="2183" ht="14.25" customHeight="1">
      <c r="G2183" s="3" t="s">
        <v>2226</v>
      </c>
    </row>
    <row r="2184" ht="14.25" customHeight="1">
      <c r="G2184" s="3" t="s">
        <v>2227</v>
      </c>
    </row>
    <row r="2185" ht="14.25" customHeight="1">
      <c r="G2185" s="3" t="s">
        <v>2228</v>
      </c>
    </row>
    <row r="2186" ht="14.25" customHeight="1">
      <c r="G2186" s="3" t="s">
        <v>2229</v>
      </c>
    </row>
    <row r="2187" ht="14.25" customHeight="1">
      <c r="G2187" s="3" t="s">
        <v>2230</v>
      </c>
    </row>
    <row r="2188" ht="14.25" customHeight="1">
      <c r="G2188" s="3" t="s">
        <v>2231</v>
      </c>
    </row>
    <row r="2189" ht="14.25" customHeight="1">
      <c r="G2189" s="3" t="s">
        <v>2232</v>
      </c>
    </row>
    <row r="2190" ht="14.25" customHeight="1">
      <c r="G2190" s="3" t="s">
        <v>2233</v>
      </c>
    </row>
    <row r="2191" ht="14.25" customHeight="1">
      <c r="G2191" s="3" t="s">
        <v>2234</v>
      </c>
    </row>
    <row r="2192" ht="14.25" customHeight="1">
      <c r="G2192" s="3" t="s">
        <v>2235</v>
      </c>
    </row>
    <row r="2193" ht="14.25" customHeight="1">
      <c r="G2193" s="3" t="s">
        <v>2236</v>
      </c>
    </row>
    <row r="2194" ht="14.25" customHeight="1">
      <c r="G2194" s="3" t="s">
        <v>2237</v>
      </c>
    </row>
    <row r="2195" ht="14.25" customHeight="1">
      <c r="G2195" s="3" t="s">
        <v>2238</v>
      </c>
    </row>
    <row r="2196" ht="14.25" customHeight="1">
      <c r="G2196" s="3" t="s">
        <v>2239</v>
      </c>
    </row>
    <row r="2197" ht="14.25" customHeight="1">
      <c r="G2197" s="3" t="s">
        <v>2240</v>
      </c>
    </row>
    <row r="2198" ht="14.25" customHeight="1">
      <c r="G2198" s="3" t="s">
        <v>2241</v>
      </c>
    </row>
    <row r="2199" ht="14.25" customHeight="1">
      <c r="G2199" s="3" t="s">
        <v>2242</v>
      </c>
    </row>
    <row r="2200" ht="14.25" customHeight="1">
      <c r="G2200" s="3" t="s">
        <v>2243</v>
      </c>
    </row>
    <row r="2201" ht="14.25" customHeight="1">
      <c r="G2201" s="3" t="s">
        <v>2244</v>
      </c>
    </row>
    <row r="2202" ht="14.25" customHeight="1">
      <c r="G2202" s="3" t="s">
        <v>2245</v>
      </c>
    </row>
    <row r="2203" ht="14.25" customHeight="1">
      <c r="G2203" s="3" t="s">
        <v>2246</v>
      </c>
    </row>
    <row r="2204" ht="14.25" customHeight="1">
      <c r="G2204" s="3" t="s">
        <v>2247</v>
      </c>
    </row>
    <row r="2205" ht="14.25" customHeight="1">
      <c r="G2205" s="3" t="s">
        <v>2248</v>
      </c>
    </row>
    <row r="2206" ht="14.25" customHeight="1">
      <c r="G2206" s="3" t="s">
        <v>2249</v>
      </c>
    </row>
    <row r="2207" ht="14.25" customHeight="1">
      <c r="G2207" s="3" t="s">
        <v>2250</v>
      </c>
    </row>
    <row r="2208" ht="14.25" customHeight="1">
      <c r="G2208" s="3" t="s">
        <v>2251</v>
      </c>
    </row>
    <row r="2209" ht="14.25" customHeight="1">
      <c r="G2209" s="3" t="s">
        <v>2252</v>
      </c>
    </row>
    <row r="2210" ht="14.25" customHeight="1">
      <c r="G2210" s="3" t="s">
        <v>2253</v>
      </c>
    </row>
    <row r="2211" ht="14.25" customHeight="1">
      <c r="G2211" s="3" t="s">
        <v>2254</v>
      </c>
    </row>
    <row r="2212" ht="14.25" customHeight="1">
      <c r="G2212" s="3" t="s">
        <v>2255</v>
      </c>
    </row>
    <row r="2213" ht="14.25" customHeight="1">
      <c r="G2213" s="3" t="s">
        <v>2256</v>
      </c>
    </row>
    <row r="2214" ht="14.25" customHeight="1">
      <c r="G2214" s="3" t="s">
        <v>2257</v>
      </c>
    </row>
    <row r="2215" ht="14.25" customHeight="1">
      <c r="G2215" s="3" t="s">
        <v>2258</v>
      </c>
    </row>
    <row r="2216" ht="14.25" customHeight="1">
      <c r="G2216" s="3" t="s">
        <v>2259</v>
      </c>
    </row>
    <row r="2217" ht="14.25" customHeight="1">
      <c r="G2217" s="3" t="s">
        <v>2260</v>
      </c>
    </row>
    <row r="2218" ht="14.25" customHeight="1">
      <c r="G2218" s="3" t="s">
        <v>2261</v>
      </c>
    </row>
    <row r="2219" ht="14.25" customHeight="1">
      <c r="G2219" s="3" t="s">
        <v>2262</v>
      </c>
    </row>
    <row r="2220" ht="14.25" customHeight="1">
      <c r="G2220" s="3" t="s">
        <v>2263</v>
      </c>
    </row>
    <row r="2221" ht="14.25" customHeight="1">
      <c r="G2221" s="3" t="s">
        <v>2264</v>
      </c>
    </row>
    <row r="2222" ht="14.25" customHeight="1">
      <c r="G2222" s="3" t="s">
        <v>2265</v>
      </c>
    </row>
    <row r="2223" ht="14.25" customHeight="1">
      <c r="G2223" s="3" t="s">
        <v>2266</v>
      </c>
    </row>
    <row r="2224" ht="14.25" customHeight="1">
      <c r="G2224" s="3" t="s">
        <v>2267</v>
      </c>
    </row>
    <row r="2225" ht="14.25" customHeight="1">
      <c r="G2225" s="3" t="s">
        <v>2268</v>
      </c>
    </row>
    <row r="2226" ht="14.25" customHeight="1">
      <c r="G2226" s="3" t="s">
        <v>2269</v>
      </c>
    </row>
    <row r="2227" ht="14.25" customHeight="1">
      <c r="G2227" s="3" t="s">
        <v>2270</v>
      </c>
    </row>
    <row r="2228" ht="14.25" customHeight="1">
      <c r="G2228" s="3" t="s">
        <v>2271</v>
      </c>
    </row>
    <row r="2229" ht="14.25" customHeight="1">
      <c r="G2229" s="3" t="s">
        <v>2272</v>
      </c>
    </row>
    <row r="2230" ht="14.25" customHeight="1">
      <c r="G2230" s="3" t="s">
        <v>2273</v>
      </c>
    </row>
    <row r="2231" ht="14.25" customHeight="1">
      <c r="G2231" s="3" t="s">
        <v>2274</v>
      </c>
    </row>
    <row r="2232" ht="14.25" customHeight="1">
      <c r="G2232" s="3" t="s">
        <v>2275</v>
      </c>
    </row>
    <row r="2233" ht="14.25" customHeight="1">
      <c r="G2233" s="3" t="s">
        <v>2276</v>
      </c>
    </row>
    <row r="2234" ht="14.25" customHeight="1">
      <c r="G2234" s="3" t="s">
        <v>2277</v>
      </c>
    </row>
    <row r="2235" ht="14.25" customHeight="1">
      <c r="G2235" s="3" t="s">
        <v>2278</v>
      </c>
    </row>
    <row r="2236" ht="14.25" customHeight="1">
      <c r="G2236" s="3" t="s">
        <v>2279</v>
      </c>
    </row>
    <row r="2237" ht="14.25" customHeight="1">
      <c r="G2237" s="3" t="s">
        <v>2280</v>
      </c>
    </row>
    <row r="2238" ht="14.25" customHeight="1">
      <c r="G2238" s="3" t="s">
        <v>2281</v>
      </c>
    </row>
    <row r="2239" ht="14.25" customHeight="1">
      <c r="G2239" s="3" t="s">
        <v>2282</v>
      </c>
    </row>
    <row r="2240" ht="14.25" customHeight="1">
      <c r="G2240" s="3" t="s">
        <v>2283</v>
      </c>
    </row>
    <row r="2241" ht="14.25" customHeight="1">
      <c r="G2241" s="3" t="s">
        <v>2284</v>
      </c>
    </row>
    <row r="2242" ht="14.25" customHeight="1">
      <c r="G2242" s="3" t="s">
        <v>2285</v>
      </c>
    </row>
    <row r="2243" ht="14.25" customHeight="1">
      <c r="G2243" s="3" t="s">
        <v>2286</v>
      </c>
    </row>
    <row r="2244" ht="14.25" customHeight="1">
      <c r="G2244" s="3" t="s">
        <v>2287</v>
      </c>
    </row>
    <row r="2245" ht="14.25" customHeight="1">
      <c r="G2245" s="3" t="s">
        <v>2288</v>
      </c>
    </row>
    <row r="2246" ht="14.25" customHeight="1">
      <c r="G2246" s="3" t="s">
        <v>2289</v>
      </c>
    </row>
    <row r="2247" ht="14.25" customHeight="1">
      <c r="G2247" s="3" t="s">
        <v>2290</v>
      </c>
    </row>
    <row r="2248" ht="14.25" customHeight="1">
      <c r="G2248" s="3" t="s">
        <v>2291</v>
      </c>
    </row>
    <row r="2249" ht="14.25" customHeight="1">
      <c r="G2249" s="3" t="s">
        <v>2292</v>
      </c>
    </row>
    <row r="2250" ht="14.25" customHeight="1">
      <c r="G2250" s="3" t="s">
        <v>2293</v>
      </c>
    </row>
    <row r="2251" ht="14.25" customHeight="1">
      <c r="G2251" s="3" t="s">
        <v>2294</v>
      </c>
    </row>
    <row r="2252" ht="14.25" customHeight="1">
      <c r="G2252" s="3" t="s">
        <v>2295</v>
      </c>
    </row>
    <row r="2253" ht="14.25" customHeight="1">
      <c r="G2253" s="3" t="s">
        <v>2296</v>
      </c>
    </row>
    <row r="2254" ht="14.25" customHeight="1">
      <c r="G2254" s="3" t="s">
        <v>2297</v>
      </c>
    </row>
    <row r="2255" ht="14.25" customHeight="1">
      <c r="G2255" s="3" t="s">
        <v>2298</v>
      </c>
    </row>
    <row r="2256" ht="14.25" customHeight="1">
      <c r="G2256" s="3" t="s">
        <v>2299</v>
      </c>
    </row>
    <row r="2257" ht="14.25" customHeight="1">
      <c r="G2257" s="3" t="s">
        <v>2300</v>
      </c>
    </row>
    <row r="2258" ht="14.25" customHeight="1">
      <c r="G2258" s="3" t="s">
        <v>2301</v>
      </c>
    </row>
    <row r="2259" ht="14.25" customHeight="1">
      <c r="G2259" s="3" t="s">
        <v>2302</v>
      </c>
    </row>
    <row r="2260" ht="14.25" customHeight="1">
      <c r="G2260" s="3" t="s">
        <v>2303</v>
      </c>
    </row>
    <row r="2261" ht="14.25" customHeight="1">
      <c r="G2261" s="3" t="s">
        <v>2304</v>
      </c>
    </row>
    <row r="2262" ht="14.25" customHeight="1">
      <c r="G2262" s="3" t="s">
        <v>2305</v>
      </c>
    </row>
    <row r="2263" ht="14.25" customHeight="1">
      <c r="G2263" s="3" t="s">
        <v>2306</v>
      </c>
    </row>
    <row r="2264" ht="14.25" customHeight="1">
      <c r="G2264" s="3" t="s">
        <v>2307</v>
      </c>
    </row>
    <row r="2265" ht="14.25" customHeight="1">
      <c r="G2265" s="3" t="s">
        <v>2308</v>
      </c>
    </row>
    <row r="2266" ht="14.25" customHeight="1">
      <c r="G2266" s="3" t="s">
        <v>2309</v>
      </c>
    </row>
    <row r="2267" ht="14.25" customHeight="1">
      <c r="G2267" s="3" t="s">
        <v>2310</v>
      </c>
    </row>
    <row r="2268" ht="14.25" customHeight="1">
      <c r="G2268" s="3" t="s">
        <v>2311</v>
      </c>
    </row>
    <row r="2269" ht="14.25" customHeight="1">
      <c r="G2269" s="3" t="s">
        <v>2312</v>
      </c>
    </row>
    <row r="2270" ht="14.25" customHeight="1">
      <c r="G2270" s="3" t="s">
        <v>2313</v>
      </c>
    </row>
    <row r="2271" ht="14.25" customHeight="1">
      <c r="G2271" s="3" t="s">
        <v>2314</v>
      </c>
    </row>
    <row r="2272" ht="14.25" customHeight="1">
      <c r="G2272" s="3" t="s">
        <v>2315</v>
      </c>
    </row>
    <row r="2273" ht="14.25" customHeight="1">
      <c r="G2273" s="3" t="s">
        <v>2316</v>
      </c>
    </row>
    <row r="2274" ht="14.25" customHeight="1">
      <c r="G2274" s="3" t="s">
        <v>2317</v>
      </c>
    </row>
    <row r="2275" ht="14.25" customHeight="1">
      <c r="G2275" s="3" t="s">
        <v>2318</v>
      </c>
    </row>
    <row r="2276" ht="14.25" customHeight="1">
      <c r="G2276" s="3" t="s">
        <v>2319</v>
      </c>
    </row>
    <row r="2277" ht="14.25" customHeight="1">
      <c r="G2277" s="3" t="s">
        <v>2320</v>
      </c>
    </row>
    <row r="2278" ht="14.25" customHeight="1">
      <c r="G2278" s="3" t="s">
        <v>2321</v>
      </c>
    </row>
    <row r="2279" ht="14.25" customHeight="1">
      <c r="G2279" s="3" t="s">
        <v>2322</v>
      </c>
    </row>
    <row r="2280" ht="14.25" customHeight="1">
      <c r="G2280" s="3" t="s">
        <v>2323</v>
      </c>
    </row>
    <row r="2281" ht="14.25" customHeight="1">
      <c r="G2281" s="3" t="s">
        <v>2324</v>
      </c>
    </row>
    <row r="2282" ht="14.25" customHeight="1">
      <c r="G2282" s="3" t="s">
        <v>2325</v>
      </c>
    </row>
    <row r="2283" ht="14.25" customHeight="1">
      <c r="G2283" s="3" t="s">
        <v>2326</v>
      </c>
    </row>
    <row r="2284" ht="14.25" customHeight="1">
      <c r="G2284" s="3" t="s">
        <v>2327</v>
      </c>
    </row>
    <row r="2285" ht="14.25" customHeight="1">
      <c r="G2285" s="3" t="s">
        <v>2328</v>
      </c>
    </row>
    <row r="2286" ht="14.25" customHeight="1">
      <c r="G2286" s="3" t="s">
        <v>2329</v>
      </c>
    </row>
    <row r="2287" ht="14.25" customHeight="1">
      <c r="G2287" s="3" t="s">
        <v>2330</v>
      </c>
    </row>
    <row r="2288" ht="14.25" customHeight="1">
      <c r="G2288" s="3" t="s">
        <v>2331</v>
      </c>
    </row>
    <row r="2289" ht="14.25" customHeight="1">
      <c r="G2289" s="3" t="s">
        <v>2332</v>
      </c>
    </row>
    <row r="2290" ht="14.25" customHeight="1">
      <c r="G2290" s="3" t="s">
        <v>2333</v>
      </c>
    </row>
    <row r="2291" ht="14.25" customHeight="1">
      <c r="G2291" s="3" t="s">
        <v>2334</v>
      </c>
    </row>
    <row r="2292" ht="14.25" customHeight="1">
      <c r="G2292" s="3" t="s">
        <v>2335</v>
      </c>
    </row>
    <row r="2293" ht="14.25" customHeight="1">
      <c r="G2293" s="3" t="s">
        <v>2336</v>
      </c>
    </row>
    <row r="2294" ht="14.25" customHeight="1">
      <c r="G2294" s="3" t="s">
        <v>2337</v>
      </c>
    </row>
    <row r="2295" ht="14.25" customHeight="1">
      <c r="G2295" s="3" t="s">
        <v>2338</v>
      </c>
    </row>
    <row r="2296" ht="14.25" customHeight="1">
      <c r="G2296" s="3" t="s">
        <v>2339</v>
      </c>
    </row>
    <row r="2297" ht="14.25" customHeight="1">
      <c r="G2297" s="3" t="s">
        <v>2340</v>
      </c>
    </row>
    <row r="2298" ht="14.25" customHeight="1">
      <c r="G2298" s="3" t="s">
        <v>2341</v>
      </c>
    </row>
    <row r="2299" ht="14.25" customHeight="1">
      <c r="G2299" s="3" t="s">
        <v>2342</v>
      </c>
    </row>
    <row r="2300" ht="14.25" customHeight="1">
      <c r="G2300" s="3" t="s">
        <v>2343</v>
      </c>
    </row>
    <row r="2301" ht="14.25" customHeight="1">
      <c r="G2301" s="3" t="s">
        <v>2344</v>
      </c>
    </row>
    <row r="2302" ht="14.25" customHeight="1">
      <c r="G2302" s="3" t="s">
        <v>2345</v>
      </c>
    </row>
    <row r="2303" ht="14.25" customHeight="1">
      <c r="G2303" s="3" t="s">
        <v>2346</v>
      </c>
    </row>
    <row r="2304" ht="14.25" customHeight="1">
      <c r="G2304" s="3" t="s">
        <v>2347</v>
      </c>
    </row>
    <row r="2305" ht="14.25" customHeight="1">
      <c r="G2305" s="3" t="s">
        <v>2348</v>
      </c>
    </row>
    <row r="2306" ht="14.25" customHeight="1">
      <c r="G2306" s="3" t="s">
        <v>2349</v>
      </c>
    </row>
    <row r="2307" ht="14.25" customHeight="1">
      <c r="G2307" s="3" t="s">
        <v>2350</v>
      </c>
    </row>
    <row r="2308" ht="14.25" customHeight="1">
      <c r="G2308" s="3" t="s">
        <v>2351</v>
      </c>
    </row>
    <row r="2309" ht="14.25" customHeight="1">
      <c r="G2309" s="3" t="s">
        <v>2352</v>
      </c>
    </row>
    <row r="2310" ht="14.25" customHeight="1">
      <c r="G2310" s="3" t="s">
        <v>2353</v>
      </c>
    </row>
    <row r="2311" ht="14.25" customHeight="1">
      <c r="G2311" s="3" t="s">
        <v>2354</v>
      </c>
    </row>
    <row r="2312" ht="14.25" customHeight="1">
      <c r="G2312" s="3" t="s">
        <v>2355</v>
      </c>
    </row>
    <row r="2313" ht="14.25" customHeight="1">
      <c r="G2313" s="3" t="s">
        <v>2356</v>
      </c>
    </row>
    <row r="2314" ht="14.25" customHeight="1">
      <c r="G2314" s="3" t="s">
        <v>2357</v>
      </c>
    </row>
    <row r="2315" ht="14.25" customHeight="1">
      <c r="G2315" s="3" t="s">
        <v>2358</v>
      </c>
    </row>
    <row r="2316" ht="14.25" customHeight="1">
      <c r="G2316" s="3" t="s">
        <v>2359</v>
      </c>
    </row>
    <row r="2317" ht="14.25" customHeight="1">
      <c r="G2317" s="3" t="s">
        <v>2360</v>
      </c>
    </row>
    <row r="2318" ht="14.25" customHeight="1">
      <c r="G2318" s="3" t="s">
        <v>2361</v>
      </c>
    </row>
    <row r="2319" ht="14.25" customHeight="1">
      <c r="G2319" s="3" t="s">
        <v>2362</v>
      </c>
    </row>
    <row r="2320" ht="14.25" customHeight="1">
      <c r="G2320" s="3" t="s">
        <v>2363</v>
      </c>
    </row>
    <row r="2321" ht="14.25" customHeight="1">
      <c r="G2321" s="3" t="s">
        <v>2364</v>
      </c>
    </row>
    <row r="2322" ht="14.25" customHeight="1">
      <c r="G2322" s="3" t="s">
        <v>2365</v>
      </c>
    </row>
    <row r="2323" ht="14.25" customHeight="1">
      <c r="G2323" s="3" t="s">
        <v>2366</v>
      </c>
    </row>
    <row r="2324" ht="14.25" customHeight="1">
      <c r="G2324" s="3" t="s">
        <v>2367</v>
      </c>
    </row>
    <row r="2325" ht="14.25" customHeight="1">
      <c r="G2325" s="3" t="s">
        <v>2368</v>
      </c>
    </row>
    <row r="2326" ht="14.25" customHeight="1">
      <c r="G2326" s="3" t="s">
        <v>2369</v>
      </c>
    </row>
    <row r="2327" ht="14.25" customHeight="1">
      <c r="G2327" s="3" t="s">
        <v>2370</v>
      </c>
    </row>
    <row r="2328" ht="14.25" customHeight="1">
      <c r="G2328" s="3" t="s">
        <v>2371</v>
      </c>
    </row>
    <row r="2329" ht="14.25" customHeight="1">
      <c r="G2329" s="3" t="s">
        <v>2372</v>
      </c>
    </row>
    <row r="2330" ht="14.25" customHeight="1">
      <c r="G2330" s="3" t="s">
        <v>2373</v>
      </c>
    </row>
    <row r="2331" ht="14.25" customHeight="1">
      <c r="G2331" s="3" t="s">
        <v>2374</v>
      </c>
    </row>
    <row r="2332" ht="14.25" customHeight="1">
      <c r="G2332" s="3" t="s">
        <v>2375</v>
      </c>
    </row>
    <row r="2333" ht="14.25" customHeight="1">
      <c r="G2333" s="3" t="s">
        <v>2376</v>
      </c>
    </row>
    <row r="2334" ht="14.25" customHeight="1">
      <c r="G2334" s="3" t="s">
        <v>2377</v>
      </c>
    </row>
    <row r="2335" ht="14.25" customHeight="1">
      <c r="G2335" s="3" t="s">
        <v>2378</v>
      </c>
    </row>
    <row r="2336" ht="14.25" customHeight="1">
      <c r="G2336" s="3" t="s">
        <v>2379</v>
      </c>
    </row>
    <row r="2337" ht="14.25" customHeight="1">
      <c r="G2337" s="3" t="s">
        <v>2380</v>
      </c>
    </row>
    <row r="2338" ht="14.25" customHeight="1">
      <c r="G2338" s="3" t="s">
        <v>2381</v>
      </c>
    </row>
    <row r="2339" ht="14.25" customHeight="1">
      <c r="G2339" s="3" t="s">
        <v>2382</v>
      </c>
    </row>
    <row r="2340" ht="14.25" customHeight="1">
      <c r="G2340" s="3" t="s">
        <v>2383</v>
      </c>
    </row>
    <row r="2341" ht="14.25" customHeight="1">
      <c r="G2341" s="3" t="s">
        <v>2384</v>
      </c>
    </row>
    <row r="2342" ht="14.25" customHeight="1">
      <c r="G2342" s="3" t="s">
        <v>2385</v>
      </c>
    </row>
    <row r="2343" ht="14.25" customHeight="1">
      <c r="G2343" s="3" t="s">
        <v>2386</v>
      </c>
    </row>
    <row r="2344" ht="14.25" customHeight="1">
      <c r="G2344" s="3" t="s">
        <v>2387</v>
      </c>
    </row>
    <row r="2345" ht="14.25" customHeight="1">
      <c r="G2345" s="3" t="s">
        <v>2388</v>
      </c>
    </row>
    <row r="2346" ht="14.25" customHeight="1">
      <c r="G2346" s="3" t="s">
        <v>2389</v>
      </c>
    </row>
    <row r="2347" ht="14.25" customHeight="1">
      <c r="G2347" s="3" t="s">
        <v>2390</v>
      </c>
    </row>
    <row r="2348" ht="14.25" customHeight="1">
      <c r="G2348" s="3" t="s">
        <v>2391</v>
      </c>
    </row>
    <row r="2349" ht="14.25" customHeight="1">
      <c r="G2349" s="3" t="s">
        <v>2392</v>
      </c>
    </row>
    <row r="2350" ht="14.25" customHeight="1">
      <c r="G2350" s="3" t="s">
        <v>2393</v>
      </c>
    </row>
    <row r="2351" ht="14.25" customHeight="1">
      <c r="G2351" s="3" t="s">
        <v>2394</v>
      </c>
    </row>
    <row r="2352" ht="14.25" customHeight="1">
      <c r="G2352" s="3" t="s">
        <v>2395</v>
      </c>
    </row>
    <row r="2353" ht="14.25" customHeight="1">
      <c r="G2353" s="3" t="s">
        <v>2396</v>
      </c>
    </row>
    <row r="2354" ht="14.25" customHeight="1">
      <c r="G2354" s="3" t="s">
        <v>2397</v>
      </c>
    </row>
    <row r="2355" ht="14.25" customHeight="1">
      <c r="G2355" s="3" t="s">
        <v>2398</v>
      </c>
    </row>
    <row r="2356" ht="14.25" customHeight="1">
      <c r="G2356" s="3" t="s">
        <v>2399</v>
      </c>
    </row>
    <row r="2357" ht="14.25" customHeight="1">
      <c r="G2357" s="3" t="s">
        <v>2400</v>
      </c>
    </row>
    <row r="2358" ht="14.25" customHeight="1">
      <c r="G2358" s="3" t="s">
        <v>2401</v>
      </c>
    </row>
    <row r="2359" ht="14.25" customHeight="1">
      <c r="G2359" s="3" t="s">
        <v>2402</v>
      </c>
    </row>
    <row r="2360" ht="14.25" customHeight="1">
      <c r="G2360" s="3" t="s">
        <v>2403</v>
      </c>
    </row>
    <row r="2361" ht="14.25" customHeight="1">
      <c r="G2361" s="3" t="s">
        <v>2404</v>
      </c>
    </row>
    <row r="2362" ht="14.25" customHeight="1">
      <c r="G2362" s="3" t="s">
        <v>2405</v>
      </c>
    </row>
    <row r="2363" ht="14.25" customHeight="1">
      <c r="G2363" s="3" t="s">
        <v>2406</v>
      </c>
    </row>
    <row r="2364" ht="14.25" customHeight="1">
      <c r="G2364" s="3" t="s">
        <v>2407</v>
      </c>
    </row>
    <row r="2365" ht="14.25" customHeight="1">
      <c r="G2365" s="3" t="s">
        <v>2408</v>
      </c>
    </row>
    <row r="2366" ht="14.25" customHeight="1">
      <c r="G2366" s="3" t="s">
        <v>2409</v>
      </c>
    </row>
    <row r="2367" ht="14.25" customHeight="1">
      <c r="G2367" s="3" t="s">
        <v>2410</v>
      </c>
    </row>
    <row r="2368" ht="14.25" customHeight="1">
      <c r="G2368" s="3" t="s">
        <v>2411</v>
      </c>
    </row>
    <row r="2369" ht="14.25" customHeight="1">
      <c r="G2369" s="3" t="s">
        <v>2412</v>
      </c>
    </row>
    <row r="2370" ht="14.25" customHeight="1">
      <c r="G2370" s="3" t="s">
        <v>2413</v>
      </c>
    </row>
    <row r="2371" ht="14.25" customHeight="1">
      <c r="G2371" s="3" t="s">
        <v>2414</v>
      </c>
    </row>
    <row r="2372" ht="14.25" customHeight="1">
      <c r="G2372" s="3" t="s">
        <v>2415</v>
      </c>
    </row>
    <row r="2373" ht="14.25" customHeight="1">
      <c r="G2373" s="3" t="s">
        <v>2416</v>
      </c>
    </row>
    <row r="2374" ht="14.25" customHeight="1">
      <c r="G2374" s="3" t="s">
        <v>2417</v>
      </c>
    </row>
    <row r="2375" ht="14.25" customHeight="1">
      <c r="G2375" s="3" t="s">
        <v>2418</v>
      </c>
    </row>
    <row r="2376" ht="14.25" customHeight="1">
      <c r="G2376" s="3" t="s">
        <v>2419</v>
      </c>
    </row>
    <row r="2377" ht="14.25" customHeight="1">
      <c r="G2377" s="3" t="s">
        <v>2420</v>
      </c>
    </row>
    <row r="2378" ht="14.25" customHeight="1">
      <c r="G2378" s="3" t="s">
        <v>2421</v>
      </c>
    </row>
    <row r="2379" ht="14.25" customHeight="1">
      <c r="G2379" s="3" t="s">
        <v>2422</v>
      </c>
    </row>
    <row r="2380" ht="14.25" customHeight="1">
      <c r="G2380" s="3" t="s">
        <v>2423</v>
      </c>
    </row>
    <row r="2381" ht="14.25" customHeight="1">
      <c r="G2381" s="3" t="s">
        <v>2424</v>
      </c>
    </row>
    <row r="2382" ht="14.25" customHeight="1">
      <c r="G2382" s="3" t="s">
        <v>2425</v>
      </c>
    </row>
    <row r="2383" ht="14.25" customHeight="1">
      <c r="G2383" s="3" t="s">
        <v>2426</v>
      </c>
    </row>
    <row r="2384" ht="14.25" customHeight="1">
      <c r="G2384" s="3" t="s">
        <v>2427</v>
      </c>
    </row>
    <row r="2385" ht="14.25" customHeight="1">
      <c r="G2385" s="3" t="s">
        <v>2428</v>
      </c>
    </row>
    <row r="2386" ht="14.25" customHeight="1">
      <c r="G2386" s="3" t="s">
        <v>2429</v>
      </c>
    </row>
    <row r="2387" ht="14.25" customHeight="1">
      <c r="G2387" s="3" t="s">
        <v>2430</v>
      </c>
    </row>
    <row r="2388" ht="14.25" customHeight="1">
      <c r="G2388" s="3" t="s">
        <v>2431</v>
      </c>
    </row>
    <row r="2389" ht="14.25" customHeight="1">
      <c r="G2389" s="3" t="s">
        <v>2432</v>
      </c>
    </row>
    <row r="2390" ht="14.25" customHeight="1">
      <c r="G2390" s="3" t="s">
        <v>2433</v>
      </c>
    </row>
    <row r="2391" ht="14.25" customHeight="1">
      <c r="G2391" s="3" t="s">
        <v>2434</v>
      </c>
    </row>
    <row r="2392" ht="14.25" customHeight="1">
      <c r="G2392" s="3" t="s">
        <v>2435</v>
      </c>
    </row>
    <row r="2393" ht="14.25" customHeight="1">
      <c r="G2393" s="3" t="s">
        <v>2436</v>
      </c>
    </row>
    <row r="2394" ht="14.25" customHeight="1">
      <c r="G2394" s="3" t="s">
        <v>2437</v>
      </c>
    </row>
    <row r="2395" ht="14.25" customHeight="1">
      <c r="G2395" s="3" t="s">
        <v>2438</v>
      </c>
    </row>
    <row r="2396" ht="14.25" customHeight="1">
      <c r="G2396" s="3" t="s">
        <v>2439</v>
      </c>
    </row>
    <row r="2397" ht="14.25" customHeight="1">
      <c r="G2397" s="3" t="s">
        <v>2440</v>
      </c>
    </row>
    <row r="2398" ht="14.25" customHeight="1">
      <c r="G2398" s="3" t="s">
        <v>2441</v>
      </c>
    </row>
    <row r="2399" ht="14.25" customHeight="1">
      <c r="G2399" s="3" t="s">
        <v>2442</v>
      </c>
    </row>
    <row r="2400" ht="14.25" customHeight="1">
      <c r="G2400" s="3" t="s">
        <v>2443</v>
      </c>
    </row>
    <row r="2401" ht="14.25" customHeight="1">
      <c r="G2401" s="3" t="s">
        <v>2444</v>
      </c>
    </row>
    <row r="2402" ht="14.25" customHeight="1">
      <c r="G2402" s="3" t="s">
        <v>2445</v>
      </c>
    </row>
    <row r="2403" ht="14.25" customHeight="1">
      <c r="G2403" s="3" t="s">
        <v>2446</v>
      </c>
    </row>
    <row r="2404" ht="14.25" customHeight="1">
      <c r="G2404" s="3" t="s">
        <v>2447</v>
      </c>
    </row>
    <row r="2405" ht="14.25" customHeight="1">
      <c r="G2405" s="3" t="s">
        <v>2448</v>
      </c>
    </row>
    <row r="2406" ht="14.25" customHeight="1">
      <c r="G2406" s="3" t="s">
        <v>2449</v>
      </c>
    </row>
    <row r="2407" ht="14.25" customHeight="1">
      <c r="G2407" s="3" t="s">
        <v>2450</v>
      </c>
    </row>
    <row r="2408" ht="14.25" customHeight="1">
      <c r="G2408" s="3" t="s">
        <v>2451</v>
      </c>
    </row>
    <row r="2409" ht="14.25" customHeight="1">
      <c r="G2409" s="3" t="s">
        <v>2452</v>
      </c>
    </row>
    <row r="2410" ht="14.25" customHeight="1">
      <c r="G2410" s="3" t="s">
        <v>2453</v>
      </c>
    </row>
    <row r="2411" ht="14.25" customHeight="1">
      <c r="G2411" s="3" t="s">
        <v>2454</v>
      </c>
    </row>
    <row r="2412" ht="14.25" customHeight="1">
      <c r="G2412" s="3" t="s">
        <v>2455</v>
      </c>
    </row>
    <row r="2413" ht="14.25" customHeight="1">
      <c r="G2413" s="3" t="s">
        <v>2456</v>
      </c>
    </row>
    <row r="2414" ht="14.25" customHeight="1">
      <c r="G2414" s="3" t="s">
        <v>2457</v>
      </c>
    </row>
    <row r="2415" ht="14.25" customHeight="1">
      <c r="G2415" s="3" t="s">
        <v>2458</v>
      </c>
    </row>
    <row r="2416" ht="14.25" customHeight="1">
      <c r="G2416" s="3" t="s">
        <v>2459</v>
      </c>
    </row>
    <row r="2417" ht="14.25" customHeight="1">
      <c r="G2417" s="3" t="s">
        <v>2460</v>
      </c>
    </row>
    <row r="2418" ht="14.25" customHeight="1">
      <c r="G2418" s="3" t="s">
        <v>2461</v>
      </c>
    </row>
    <row r="2419" ht="14.25" customHeight="1">
      <c r="G2419" s="3" t="s">
        <v>2462</v>
      </c>
    </row>
    <row r="2420" ht="14.25" customHeight="1">
      <c r="G2420" s="3" t="s">
        <v>2463</v>
      </c>
    </row>
    <row r="2421" ht="14.25" customHeight="1">
      <c r="G2421" s="3" t="s">
        <v>2464</v>
      </c>
    </row>
    <row r="2422" ht="14.25" customHeight="1">
      <c r="G2422" s="3" t="s">
        <v>2465</v>
      </c>
    </row>
    <row r="2423" ht="14.25" customHeight="1">
      <c r="G2423" s="3" t="s">
        <v>2466</v>
      </c>
    </row>
    <row r="2424" ht="14.25" customHeight="1">
      <c r="G2424" s="3" t="s">
        <v>2467</v>
      </c>
    </row>
    <row r="2425" ht="14.25" customHeight="1">
      <c r="G2425" s="3" t="s">
        <v>2468</v>
      </c>
    </row>
    <row r="2426" ht="14.25" customHeight="1">
      <c r="G2426" s="3" t="s">
        <v>2469</v>
      </c>
    </row>
    <row r="2427" ht="14.25" customHeight="1">
      <c r="G2427" s="3" t="s">
        <v>2470</v>
      </c>
    </row>
    <row r="2428" ht="14.25" customHeight="1">
      <c r="G2428" s="3" t="s">
        <v>2471</v>
      </c>
    </row>
    <row r="2429" ht="14.25" customHeight="1">
      <c r="G2429" s="3" t="s">
        <v>2472</v>
      </c>
    </row>
    <row r="2430" ht="14.25" customHeight="1">
      <c r="G2430" s="3" t="s">
        <v>2473</v>
      </c>
    </row>
    <row r="2431" ht="14.25" customHeight="1">
      <c r="G2431" s="3" t="s">
        <v>2474</v>
      </c>
    </row>
    <row r="2432" ht="14.25" customHeight="1">
      <c r="G2432" s="3" t="s">
        <v>2475</v>
      </c>
    </row>
    <row r="2433" ht="14.25" customHeight="1">
      <c r="G2433" s="3" t="s">
        <v>2476</v>
      </c>
    </row>
    <row r="2434" ht="14.25" customHeight="1">
      <c r="G2434" s="3" t="s">
        <v>2477</v>
      </c>
    </row>
    <row r="2435" ht="14.25" customHeight="1">
      <c r="G2435" s="3" t="s">
        <v>2478</v>
      </c>
    </row>
    <row r="2436" ht="14.25" customHeight="1">
      <c r="G2436" s="3" t="s">
        <v>2479</v>
      </c>
    </row>
    <row r="2437" ht="14.25" customHeight="1">
      <c r="G2437" s="3" t="s">
        <v>2480</v>
      </c>
    </row>
    <row r="2438" ht="14.25" customHeight="1">
      <c r="G2438" s="3" t="s">
        <v>2481</v>
      </c>
    </row>
    <row r="2439" ht="14.25" customHeight="1">
      <c r="G2439" s="3" t="s">
        <v>2482</v>
      </c>
    </row>
    <row r="2440" ht="14.25" customHeight="1">
      <c r="G2440" s="3" t="s">
        <v>2483</v>
      </c>
    </row>
    <row r="2441" ht="14.25" customHeight="1">
      <c r="G2441" s="3" t="s">
        <v>2484</v>
      </c>
    </row>
    <row r="2442" ht="14.25" customHeight="1">
      <c r="G2442" s="3" t="s">
        <v>2485</v>
      </c>
    </row>
    <row r="2443" ht="14.25" customHeight="1">
      <c r="G2443" s="3" t="s">
        <v>2486</v>
      </c>
    </row>
    <row r="2444" ht="14.25" customHeight="1">
      <c r="G2444" s="3" t="s">
        <v>2487</v>
      </c>
    </row>
    <row r="2445" ht="14.25" customHeight="1">
      <c r="G2445" s="3" t="s">
        <v>2488</v>
      </c>
    </row>
    <row r="2446" ht="14.25" customHeight="1">
      <c r="G2446" s="3" t="s">
        <v>2489</v>
      </c>
    </row>
    <row r="2447" ht="14.25" customHeight="1">
      <c r="G2447" s="3" t="s">
        <v>2490</v>
      </c>
    </row>
    <row r="2448" ht="14.25" customHeight="1">
      <c r="G2448" s="3" t="s">
        <v>2491</v>
      </c>
    </row>
    <row r="2449" ht="14.25" customHeight="1">
      <c r="G2449" s="3" t="s">
        <v>2492</v>
      </c>
    </row>
    <row r="2450" ht="14.25" customHeight="1">
      <c r="G2450" s="3" t="s">
        <v>2493</v>
      </c>
    </row>
    <row r="2451" ht="14.25" customHeight="1">
      <c r="G2451" s="3" t="s">
        <v>2494</v>
      </c>
    </row>
    <row r="2452" ht="14.25" customHeight="1">
      <c r="G2452" s="3" t="s">
        <v>2495</v>
      </c>
    </row>
    <row r="2453" ht="14.25" customHeight="1">
      <c r="G2453" s="3" t="s">
        <v>2496</v>
      </c>
    </row>
    <row r="2454" ht="14.25" customHeight="1">
      <c r="G2454" s="3" t="s">
        <v>2497</v>
      </c>
    </row>
    <row r="2455" ht="14.25" customHeight="1">
      <c r="G2455" s="3" t="s">
        <v>2498</v>
      </c>
    </row>
    <row r="2456" ht="14.25" customHeight="1">
      <c r="G2456" s="3" t="s">
        <v>2499</v>
      </c>
    </row>
    <row r="2457" ht="14.25" customHeight="1">
      <c r="G2457" s="3" t="s">
        <v>2500</v>
      </c>
    </row>
    <row r="2458" ht="14.25" customHeight="1">
      <c r="G2458" s="3" t="s">
        <v>2501</v>
      </c>
    </row>
    <row r="2459" ht="14.25" customHeight="1">
      <c r="G2459" s="3" t="s">
        <v>2502</v>
      </c>
    </row>
    <row r="2460" ht="14.25" customHeight="1">
      <c r="G2460" s="3" t="s">
        <v>2503</v>
      </c>
    </row>
    <row r="2461" ht="14.25" customHeight="1">
      <c r="G2461" s="3" t="s">
        <v>2504</v>
      </c>
    </row>
    <row r="2462" ht="14.25" customHeight="1">
      <c r="G2462" s="3" t="s">
        <v>2505</v>
      </c>
    </row>
    <row r="2463" ht="14.25" customHeight="1">
      <c r="G2463" s="3" t="s">
        <v>2506</v>
      </c>
    </row>
    <row r="2464" ht="14.25" customHeight="1">
      <c r="G2464" s="3" t="s">
        <v>2507</v>
      </c>
    </row>
    <row r="2465" ht="14.25" customHeight="1">
      <c r="G2465" s="3" t="s">
        <v>2508</v>
      </c>
    </row>
    <row r="2466" ht="14.25" customHeight="1">
      <c r="G2466" s="3" t="s">
        <v>2509</v>
      </c>
    </row>
    <row r="2467" ht="14.25" customHeight="1">
      <c r="G2467" s="3" t="s">
        <v>2510</v>
      </c>
    </row>
    <row r="2468" ht="14.25" customHeight="1">
      <c r="G2468" s="3" t="s">
        <v>2511</v>
      </c>
    </row>
    <row r="2469" ht="14.25" customHeight="1">
      <c r="G2469" s="3" t="s">
        <v>2512</v>
      </c>
    </row>
    <row r="2470" ht="14.25" customHeight="1">
      <c r="G2470" s="3" t="s">
        <v>2513</v>
      </c>
    </row>
    <row r="2471" ht="14.25" customHeight="1">
      <c r="G2471" s="3" t="s">
        <v>2514</v>
      </c>
    </row>
    <row r="2472" ht="14.25" customHeight="1">
      <c r="G2472" s="3" t="s">
        <v>2515</v>
      </c>
    </row>
    <row r="2473" ht="14.25" customHeight="1">
      <c r="G2473" s="3" t="s">
        <v>2516</v>
      </c>
    </row>
    <row r="2474" ht="14.25" customHeight="1">
      <c r="G2474" s="3" t="s">
        <v>2517</v>
      </c>
    </row>
    <row r="2475" ht="14.25" customHeight="1">
      <c r="G2475" s="3" t="s">
        <v>2518</v>
      </c>
    </row>
    <row r="2476" ht="14.25" customHeight="1">
      <c r="G2476" s="3" t="s">
        <v>2519</v>
      </c>
    </row>
    <row r="2477" ht="14.25" customHeight="1">
      <c r="G2477" s="3" t="s">
        <v>2520</v>
      </c>
    </row>
    <row r="2478" ht="14.25" customHeight="1">
      <c r="G2478" s="3" t="s">
        <v>2521</v>
      </c>
    </row>
    <row r="2479" ht="14.25" customHeight="1">
      <c r="G2479" s="3" t="s">
        <v>2522</v>
      </c>
    </row>
    <row r="2480" ht="14.25" customHeight="1">
      <c r="G2480" s="3" t="s">
        <v>2523</v>
      </c>
    </row>
    <row r="2481" ht="14.25" customHeight="1">
      <c r="G2481" s="3" t="s">
        <v>2524</v>
      </c>
    </row>
    <row r="2482" ht="14.25" customHeight="1">
      <c r="G2482" s="3" t="s">
        <v>2525</v>
      </c>
    </row>
    <row r="2483" ht="14.25" customHeight="1">
      <c r="G2483" s="3" t="s">
        <v>2526</v>
      </c>
    </row>
    <row r="2484" ht="14.25" customHeight="1">
      <c r="G2484" s="3" t="s">
        <v>2527</v>
      </c>
    </row>
    <row r="2485" ht="14.25" customHeight="1">
      <c r="G2485" s="3" t="s">
        <v>2528</v>
      </c>
    </row>
    <row r="2486" ht="14.25" customHeight="1">
      <c r="G2486" s="3" t="s">
        <v>2529</v>
      </c>
    </row>
    <row r="2487" ht="14.25" customHeight="1">
      <c r="G2487" s="3" t="s">
        <v>2530</v>
      </c>
    </row>
    <row r="2488" ht="14.25" customHeight="1">
      <c r="G2488" s="3" t="s">
        <v>2531</v>
      </c>
    </row>
    <row r="2489" ht="14.25" customHeight="1">
      <c r="G2489" s="3" t="s">
        <v>2532</v>
      </c>
    </row>
    <row r="2490" ht="14.25" customHeight="1">
      <c r="G2490" s="3" t="s">
        <v>2533</v>
      </c>
    </row>
    <row r="2491" ht="14.25" customHeight="1">
      <c r="G2491" s="3" t="s">
        <v>2534</v>
      </c>
    </row>
    <row r="2492" ht="14.25" customHeight="1">
      <c r="G2492" s="3" t="s">
        <v>2535</v>
      </c>
    </row>
    <row r="2493" ht="14.25" customHeight="1">
      <c r="G2493" s="3" t="s">
        <v>2536</v>
      </c>
    </row>
    <row r="2494" ht="14.25" customHeight="1">
      <c r="G2494" s="3" t="s">
        <v>2537</v>
      </c>
    </row>
    <row r="2495" ht="14.25" customHeight="1">
      <c r="G2495" s="3" t="s">
        <v>2538</v>
      </c>
    </row>
    <row r="2496" ht="14.25" customHeight="1">
      <c r="G2496" s="3" t="s">
        <v>2539</v>
      </c>
    </row>
    <row r="2497" ht="14.25" customHeight="1">
      <c r="G2497" s="3" t="s">
        <v>2540</v>
      </c>
    </row>
    <row r="2498" ht="14.25" customHeight="1">
      <c r="G2498" s="3" t="s">
        <v>2541</v>
      </c>
    </row>
    <row r="2499" ht="14.25" customHeight="1">
      <c r="G2499" s="3" t="s">
        <v>2542</v>
      </c>
    </row>
    <row r="2500" ht="14.25" customHeight="1">
      <c r="G2500" s="3" t="s">
        <v>2543</v>
      </c>
    </row>
    <row r="2501" ht="14.25" customHeight="1">
      <c r="G2501" s="3" t="s">
        <v>2544</v>
      </c>
    </row>
    <row r="2502" ht="14.25" customHeight="1">
      <c r="G2502" s="3" t="s">
        <v>2545</v>
      </c>
    </row>
    <row r="2503" ht="14.25" customHeight="1">
      <c r="G2503" s="3" t="s">
        <v>2546</v>
      </c>
    </row>
    <row r="2504" ht="14.25" customHeight="1">
      <c r="G2504" s="3" t="s">
        <v>2547</v>
      </c>
    </row>
    <row r="2505" ht="14.25" customHeight="1">
      <c r="G2505" s="3" t="s">
        <v>2548</v>
      </c>
    </row>
    <row r="2506" ht="14.25" customHeight="1">
      <c r="G2506" s="3" t="s">
        <v>2549</v>
      </c>
    </row>
    <row r="2507" ht="14.25" customHeight="1">
      <c r="G2507" s="3" t="s">
        <v>2550</v>
      </c>
    </row>
    <row r="2508" ht="14.25" customHeight="1">
      <c r="G2508" s="3" t="s">
        <v>2551</v>
      </c>
    </row>
    <row r="2509" ht="14.25" customHeight="1">
      <c r="G2509" s="3" t="s">
        <v>2552</v>
      </c>
    </row>
    <row r="2510" ht="14.25" customHeight="1">
      <c r="G2510" s="3" t="s">
        <v>2553</v>
      </c>
    </row>
    <row r="2511" ht="14.25" customHeight="1">
      <c r="G2511" s="3" t="s">
        <v>2554</v>
      </c>
    </row>
    <row r="2512" ht="14.25" customHeight="1">
      <c r="G2512" s="3" t="s">
        <v>2555</v>
      </c>
    </row>
    <row r="2513" ht="14.25" customHeight="1">
      <c r="G2513" s="3" t="s">
        <v>2556</v>
      </c>
    </row>
    <row r="2514" ht="14.25" customHeight="1">
      <c r="G2514" s="3" t="s">
        <v>2557</v>
      </c>
    </row>
    <row r="2515" ht="14.25" customHeight="1">
      <c r="G2515" s="3" t="s">
        <v>2558</v>
      </c>
    </row>
    <row r="2516" ht="14.25" customHeight="1">
      <c r="G2516" s="3" t="s">
        <v>2559</v>
      </c>
    </row>
    <row r="2517" ht="14.25" customHeight="1">
      <c r="G2517" s="3" t="s">
        <v>2560</v>
      </c>
    </row>
    <row r="2518" ht="14.25" customHeight="1">
      <c r="G2518" s="3" t="s">
        <v>2561</v>
      </c>
    </row>
    <row r="2519" ht="14.25" customHeight="1">
      <c r="G2519" s="3" t="s">
        <v>2562</v>
      </c>
    </row>
    <row r="2520" ht="14.25" customHeight="1">
      <c r="G2520" s="3" t="s">
        <v>2563</v>
      </c>
    </row>
    <row r="2521" ht="14.25" customHeight="1">
      <c r="G2521" s="3" t="s">
        <v>2564</v>
      </c>
    </row>
    <row r="2522" ht="14.25" customHeight="1">
      <c r="G2522" s="3" t="s">
        <v>2565</v>
      </c>
    </row>
    <row r="2523" ht="14.25" customHeight="1">
      <c r="G2523" s="3" t="s">
        <v>2566</v>
      </c>
    </row>
    <row r="2524" ht="14.25" customHeight="1">
      <c r="G2524" s="3" t="s">
        <v>2567</v>
      </c>
    </row>
    <row r="2525" ht="14.25" customHeight="1">
      <c r="G2525" s="3" t="s">
        <v>2568</v>
      </c>
    </row>
    <row r="2526" ht="14.25" customHeight="1">
      <c r="G2526" s="3" t="s">
        <v>2569</v>
      </c>
    </row>
    <row r="2527" ht="14.25" customHeight="1">
      <c r="G2527" s="3" t="s">
        <v>2570</v>
      </c>
    </row>
    <row r="2528" ht="14.25" customHeight="1">
      <c r="G2528" s="3" t="s">
        <v>2571</v>
      </c>
    </row>
    <row r="2529" ht="14.25" customHeight="1">
      <c r="G2529" s="3" t="s">
        <v>2572</v>
      </c>
    </row>
    <row r="2530" ht="14.25" customHeight="1">
      <c r="G2530" s="3" t="s">
        <v>2573</v>
      </c>
    </row>
    <row r="2531" ht="14.25" customHeight="1">
      <c r="G2531" s="3" t="s">
        <v>2574</v>
      </c>
    </row>
    <row r="2532" ht="14.25" customHeight="1">
      <c r="G2532" s="3" t="s">
        <v>2575</v>
      </c>
    </row>
    <row r="2533" ht="14.25" customHeight="1">
      <c r="G2533" s="3" t="s">
        <v>2576</v>
      </c>
    </row>
    <row r="2534" ht="14.25" customHeight="1">
      <c r="G2534" s="3" t="s">
        <v>2577</v>
      </c>
    </row>
    <row r="2535" ht="14.25" customHeight="1">
      <c r="G2535" s="3" t="s">
        <v>2578</v>
      </c>
    </row>
    <row r="2536" ht="14.25" customHeight="1">
      <c r="G2536" s="3" t="s">
        <v>2579</v>
      </c>
    </row>
    <row r="2537" ht="14.25" customHeight="1">
      <c r="G2537" s="3" t="s">
        <v>2580</v>
      </c>
    </row>
    <row r="2538" ht="14.25" customHeight="1">
      <c r="G2538" s="3" t="s">
        <v>2581</v>
      </c>
    </row>
    <row r="2539" ht="14.25" customHeight="1">
      <c r="G2539" s="3" t="s">
        <v>2582</v>
      </c>
    </row>
    <row r="2540" ht="14.25" customHeight="1">
      <c r="G2540" s="3" t="s">
        <v>2583</v>
      </c>
    </row>
    <row r="2541" ht="14.25" customHeight="1">
      <c r="G2541" s="3" t="s">
        <v>2584</v>
      </c>
    </row>
    <row r="2542" ht="14.25" customHeight="1">
      <c r="G2542" s="3" t="s">
        <v>2585</v>
      </c>
    </row>
    <row r="2543" ht="14.25" customHeight="1">
      <c r="G2543" s="3" t="s">
        <v>2586</v>
      </c>
    </row>
    <row r="2544" ht="14.25" customHeight="1">
      <c r="G2544" s="3" t="s">
        <v>2587</v>
      </c>
    </row>
    <row r="2545" ht="14.25" customHeight="1">
      <c r="G2545" s="3" t="s">
        <v>2588</v>
      </c>
    </row>
    <row r="2546" ht="14.25" customHeight="1">
      <c r="G2546" s="3" t="s">
        <v>2589</v>
      </c>
    </row>
    <row r="2547" ht="14.25" customHeight="1">
      <c r="G2547" s="3" t="s">
        <v>2590</v>
      </c>
    </row>
    <row r="2548" ht="14.25" customHeight="1">
      <c r="G2548" s="3" t="s">
        <v>2591</v>
      </c>
    </row>
    <row r="2549" ht="14.25" customHeight="1">
      <c r="G2549" s="3" t="s">
        <v>2592</v>
      </c>
    </row>
    <row r="2550" ht="14.25" customHeight="1">
      <c r="G2550" s="3" t="s">
        <v>2593</v>
      </c>
    </row>
    <row r="2551" ht="14.25" customHeight="1">
      <c r="G2551" s="3" t="s">
        <v>2594</v>
      </c>
    </row>
    <row r="2552" ht="14.25" customHeight="1">
      <c r="G2552" s="3" t="s">
        <v>2595</v>
      </c>
    </row>
    <row r="2553" ht="14.25" customHeight="1">
      <c r="G2553" s="3" t="s">
        <v>2596</v>
      </c>
    </row>
    <row r="2554" ht="14.25" customHeight="1">
      <c r="G2554" s="3" t="s">
        <v>2597</v>
      </c>
    </row>
    <row r="2555" ht="14.25" customHeight="1">
      <c r="G2555" s="3" t="s">
        <v>2598</v>
      </c>
    </row>
    <row r="2556" ht="14.25" customHeight="1">
      <c r="G2556" s="3" t="s">
        <v>2599</v>
      </c>
    </row>
    <row r="2557" ht="14.25" customHeight="1">
      <c r="G2557" s="3" t="s">
        <v>2600</v>
      </c>
    </row>
    <row r="2558" ht="14.25" customHeight="1">
      <c r="G2558" s="3" t="s">
        <v>2601</v>
      </c>
    </row>
    <row r="2559" ht="14.25" customHeight="1">
      <c r="G2559" s="3" t="s">
        <v>2602</v>
      </c>
    </row>
    <row r="2560" ht="14.25" customHeight="1">
      <c r="G2560" s="3" t="s">
        <v>2603</v>
      </c>
    </row>
    <row r="2561" ht="14.25" customHeight="1">
      <c r="G2561" s="3" t="s">
        <v>2604</v>
      </c>
    </row>
    <row r="2562" ht="14.25" customHeight="1">
      <c r="G2562" s="3" t="s">
        <v>2605</v>
      </c>
    </row>
    <row r="2563" ht="14.25" customHeight="1">
      <c r="G2563" s="3" t="s">
        <v>2606</v>
      </c>
    </row>
    <row r="2564" ht="14.25" customHeight="1">
      <c r="G2564" s="3" t="s">
        <v>2607</v>
      </c>
    </row>
    <row r="2565" ht="14.25" customHeight="1">
      <c r="G2565" s="3" t="s">
        <v>2608</v>
      </c>
    </row>
    <row r="2566" ht="14.25" customHeight="1">
      <c r="G2566" s="3" t="s">
        <v>2609</v>
      </c>
    </row>
    <row r="2567" ht="14.25" customHeight="1">
      <c r="G2567" s="3" t="s">
        <v>2610</v>
      </c>
    </row>
    <row r="2568" ht="14.25" customHeight="1">
      <c r="G2568" s="3" t="s">
        <v>2611</v>
      </c>
    </row>
    <row r="2569" ht="14.25" customHeight="1">
      <c r="G2569" s="3" t="s">
        <v>2612</v>
      </c>
    </row>
    <row r="2570" ht="14.25" customHeight="1">
      <c r="G2570" s="3" t="s">
        <v>2613</v>
      </c>
    </row>
    <row r="2571" ht="14.25" customHeight="1">
      <c r="G2571" s="3" t="s">
        <v>2614</v>
      </c>
    </row>
    <row r="2572" ht="14.25" customHeight="1">
      <c r="G2572" s="3" t="s">
        <v>2615</v>
      </c>
    </row>
    <row r="2573" ht="14.25" customHeight="1">
      <c r="G2573" s="3" t="s">
        <v>2616</v>
      </c>
    </row>
    <row r="2574" ht="14.25" customHeight="1">
      <c r="G2574" s="3" t="s">
        <v>2617</v>
      </c>
    </row>
    <row r="2575" ht="14.25" customHeight="1">
      <c r="G2575" s="3" t="s">
        <v>2618</v>
      </c>
    </row>
    <row r="2576" ht="14.25" customHeight="1">
      <c r="G2576" s="3" t="s">
        <v>2619</v>
      </c>
    </row>
    <row r="2577" ht="14.25" customHeight="1">
      <c r="G2577" s="3" t="s">
        <v>2620</v>
      </c>
    </row>
    <row r="2578" ht="14.25" customHeight="1">
      <c r="G2578" s="3" t="s">
        <v>2621</v>
      </c>
    </row>
    <row r="2579" ht="14.25" customHeight="1">
      <c r="G2579" s="3" t="s">
        <v>2622</v>
      </c>
    </row>
    <row r="2580" ht="14.25" customHeight="1">
      <c r="G2580" s="3" t="s">
        <v>2623</v>
      </c>
    </row>
    <row r="2581" ht="14.25" customHeight="1">
      <c r="G2581" s="3" t="s">
        <v>2624</v>
      </c>
    </row>
    <row r="2582" ht="14.25" customHeight="1">
      <c r="G2582" s="3" t="s">
        <v>2625</v>
      </c>
    </row>
    <row r="2583" ht="14.25" customHeight="1">
      <c r="G2583" s="3" t="s">
        <v>2626</v>
      </c>
    </row>
    <row r="2584" ht="14.25" customHeight="1">
      <c r="G2584" s="3" t="s">
        <v>2627</v>
      </c>
    </row>
    <row r="2585" ht="14.25" customHeight="1">
      <c r="G2585" s="3" t="s">
        <v>2628</v>
      </c>
    </row>
    <row r="2586" ht="14.25" customHeight="1">
      <c r="G2586" s="3" t="s">
        <v>2629</v>
      </c>
    </row>
    <row r="2587" ht="14.25" customHeight="1">
      <c r="G2587" s="3" t="s">
        <v>2630</v>
      </c>
    </row>
    <row r="2588" ht="14.25" customHeight="1">
      <c r="G2588" s="3" t="s">
        <v>2631</v>
      </c>
    </row>
    <row r="2589" ht="14.25" customHeight="1">
      <c r="G2589" s="3" t="s">
        <v>2632</v>
      </c>
    </row>
    <row r="2590" ht="14.25" customHeight="1">
      <c r="G2590" s="3" t="s">
        <v>2633</v>
      </c>
    </row>
    <row r="2591" ht="14.25" customHeight="1">
      <c r="G2591" s="3" t="s">
        <v>2634</v>
      </c>
    </row>
    <row r="2592" ht="14.25" customHeight="1">
      <c r="G2592" s="3" t="s">
        <v>2635</v>
      </c>
    </row>
    <row r="2593" ht="14.25" customHeight="1">
      <c r="G2593" s="3" t="s">
        <v>2636</v>
      </c>
    </row>
    <row r="2594" ht="14.25" customHeight="1">
      <c r="G2594" s="3" t="s">
        <v>2637</v>
      </c>
    </row>
    <row r="2595" ht="14.25" customHeight="1">
      <c r="G2595" s="3" t="s">
        <v>2638</v>
      </c>
    </row>
    <row r="2596" ht="14.25" customHeight="1">
      <c r="G2596" s="3" t="s">
        <v>2639</v>
      </c>
    </row>
    <row r="2597" ht="14.25" customHeight="1">
      <c r="G2597" s="3" t="s">
        <v>2640</v>
      </c>
    </row>
    <row r="2598" ht="14.25" customHeight="1">
      <c r="G2598" s="3" t="s">
        <v>2641</v>
      </c>
    </row>
    <row r="2599" ht="14.25" customHeight="1">
      <c r="G2599" s="3" t="s">
        <v>2642</v>
      </c>
    </row>
    <row r="2600" ht="14.25" customHeight="1">
      <c r="G2600" s="3" t="s">
        <v>2643</v>
      </c>
    </row>
    <row r="2601" ht="14.25" customHeight="1">
      <c r="G2601" s="3" t="s">
        <v>2644</v>
      </c>
    </row>
    <row r="2602" ht="14.25" customHeight="1">
      <c r="G2602" s="3" t="s">
        <v>2645</v>
      </c>
    </row>
    <row r="2603" ht="14.25" customHeight="1">
      <c r="G2603" s="3" t="s">
        <v>2646</v>
      </c>
    </row>
    <row r="2604" ht="14.25" customHeight="1">
      <c r="G2604" s="3" t="s">
        <v>2647</v>
      </c>
    </row>
    <row r="2605" ht="14.25" customHeight="1">
      <c r="G2605" s="3" t="s">
        <v>2648</v>
      </c>
    </row>
    <row r="2606" ht="14.25" customHeight="1">
      <c r="G2606" s="3" t="s">
        <v>2649</v>
      </c>
    </row>
    <row r="2607" ht="14.25" customHeight="1">
      <c r="G2607" s="3" t="s">
        <v>2650</v>
      </c>
    </row>
    <row r="2608" ht="14.25" customHeight="1">
      <c r="G2608" s="3" t="s">
        <v>2651</v>
      </c>
    </row>
    <row r="2609" ht="14.25" customHeight="1">
      <c r="G2609" s="3" t="s">
        <v>2652</v>
      </c>
    </row>
    <row r="2610" ht="14.25" customHeight="1">
      <c r="G2610" s="3" t="s">
        <v>2653</v>
      </c>
    </row>
    <row r="2611" ht="14.25" customHeight="1">
      <c r="G2611" s="3" t="s">
        <v>2654</v>
      </c>
    </row>
    <row r="2612" ht="14.25" customHeight="1">
      <c r="G2612" s="3" t="s">
        <v>2655</v>
      </c>
    </row>
    <row r="2613" ht="14.25" customHeight="1">
      <c r="G2613" s="3" t="s">
        <v>2656</v>
      </c>
    </row>
    <row r="2614" ht="14.25" customHeight="1">
      <c r="G2614" s="3" t="s">
        <v>2657</v>
      </c>
    </row>
    <row r="2615" ht="14.25" customHeight="1">
      <c r="G2615" s="3" t="s">
        <v>2658</v>
      </c>
    </row>
    <row r="2616" ht="14.25" customHeight="1">
      <c r="G2616" s="3" t="s">
        <v>2659</v>
      </c>
    </row>
    <row r="2617" ht="14.25" customHeight="1">
      <c r="G2617" s="3" t="s">
        <v>2660</v>
      </c>
    </row>
    <row r="2618" ht="14.25" customHeight="1">
      <c r="G2618" s="3" t="s">
        <v>2661</v>
      </c>
    </row>
    <row r="2619" ht="14.25" customHeight="1">
      <c r="G2619" s="3" t="s">
        <v>2662</v>
      </c>
    </row>
    <row r="2620" ht="14.25" customHeight="1">
      <c r="G2620" s="3" t="s">
        <v>2663</v>
      </c>
    </row>
    <row r="2621" ht="14.25" customHeight="1">
      <c r="G2621" s="3" t="s">
        <v>2664</v>
      </c>
    </row>
    <row r="2622" ht="14.25" customHeight="1">
      <c r="G2622" s="3" t="s">
        <v>2665</v>
      </c>
    </row>
    <row r="2623" ht="14.25" customHeight="1">
      <c r="G2623" s="3" t="s">
        <v>2666</v>
      </c>
    </row>
    <row r="2624" ht="14.25" customHeight="1">
      <c r="G2624" s="3" t="s">
        <v>2667</v>
      </c>
    </row>
    <row r="2625" ht="14.25" customHeight="1">
      <c r="G2625" s="3" t="s">
        <v>2668</v>
      </c>
    </row>
    <row r="2626" ht="14.25" customHeight="1">
      <c r="G2626" s="3" t="s">
        <v>2669</v>
      </c>
    </row>
    <row r="2627" ht="14.25" customHeight="1">
      <c r="G2627" s="3" t="s">
        <v>2670</v>
      </c>
    </row>
    <row r="2628" ht="14.25" customHeight="1">
      <c r="G2628" s="3" t="s">
        <v>2671</v>
      </c>
    </row>
    <row r="2629" ht="14.25" customHeight="1">
      <c r="G2629" s="3" t="s">
        <v>2672</v>
      </c>
    </row>
    <row r="2630" ht="14.25" customHeight="1">
      <c r="G2630" s="3" t="s">
        <v>2673</v>
      </c>
    </row>
    <row r="2631" ht="14.25" customHeight="1">
      <c r="G2631" s="3" t="s">
        <v>2674</v>
      </c>
    </row>
    <row r="2632" ht="14.25" customHeight="1">
      <c r="G2632" s="3" t="s">
        <v>2675</v>
      </c>
    </row>
    <row r="2633" ht="14.25" customHeight="1">
      <c r="G2633" s="3" t="s">
        <v>2676</v>
      </c>
    </row>
    <row r="2634" ht="14.25" customHeight="1">
      <c r="G2634" s="3" t="s">
        <v>2677</v>
      </c>
    </row>
    <row r="2635" ht="14.25" customHeight="1">
      <c r="G2635" s="3" t="s">
        <v>2678</v>
      </c>
    </row>
    <row r="2636" ht="14.25" customHeight="1">
      <c r="G2636" s="3" t="s">
        <v>2679</v>
      </c>
    </row>
    <row r="2637" ht="14.25" customHeight="1">
      <c r="G2637" s="3" t="s">
        <v>2680</v>
      </c>
    </row>
    <row r="2638" ht="14.25" customHeight="1">
      <c r="G2638" s="3" t="s">
        <v>2681</v>
      </c>
    </row>
    <row r="2639" ht="14.25" customHeight="1">
      <c r="G2639" s="3" t="s">
        <v>2682</v>
      </c>
    </row>
    <row r="2640" ht="14.25" customHeight="1">
      <c r="G2640" s="3" t="s">
        <v>2683</v>
      </c>
    </row>
    <row r="2641" ht="14.25" customHeight="1">
      <c r="G2641" s="3" t="s">
        <v>2684</v>
      </c>
    </row>
    <row r="2642" ht="14.25" customHeight="1">
      <c r="G2642" s="3" t="s">
        <v>2685</v>
      </c>
    </row>
    <row r="2643" ht="14.25" customHeight="1">
      <c r="G2643" s="3" t="s">
        <v>2686</v>
      </c>
    </row>
    <row r="2644" ht="14.25" customHeight="1">
      <c r="G2644" s="3" t="s">
        <v>2687</v>
      </c>
    </row>
    <row r="2645" ht="14.25" customHeight="1">
      <c r="G2645" s="3" t="s">
        <v>2688</v>
      </c>
    </row>
    <row r="2646" ht="14.25" customHeight="1">
      <c r="G2646" s="3" t="s">
        <v>2689</v>
      </c>
    </row>
    <row r="2647" ht="14.25" customHeight="1">
      <c r="G2647" s="3" t="s">
        <v>2690</v>
      </c>
    </row>
    <row r="2648" ht="14.25" customHeight="1">
      <c r="G2648" s="3" t="s">
        <v>2691</v>
      </c>
    </row>
    <row r="2649" ht="14.25" customHeight="1">
      <c r="G2649" s="3" t="s">
        <v>2692</v>
      </c>
    </row>
    <row r="2650" ht="14.25" customHeight="1">
      <c r="G2650" s="3" t="s">
        <v>2693</v>
      </c>
    </row>
    <row r="2651" ht="14.25" customHeight="1">
      <c r="G2651" s="3" t="s">
        <v>2694</v>
      </c>
    </row>
    <row r="2652" ht="14.25" customHeight="1">
      <c r="G2652" s="3" t="s">
        <v>2695</v>
      </c>
    </row>
    <row r="2653" ht="14.25" customHeight="1">
      <c r="G2653" s="3" t="s">
        <v>2696</v>
      </c>
    </row>
    <row r="2654" ht="14.25" customHeight="1">
      <c r="G2654" s="3" t="s">
        <v>2697</v>
      </c>
    </row>
    <row r="2655" ht="14.25" customHeight="1">
      <c r="G2655" s="3" t="s">
        <v>2698</v>
      </c>
    </row>
    <row r="2656" ht="14.25" customHeight="1">
      <c r="G2656" s="3" t="s">
        <v>2699</v>
      </c>
    </row>
    <row r="2657" ht="14.25" customHeight="1">
      <c r="G2657" s="3" t="s">
        <v>2700</v>
      </c>
    </row>
    <row r="2658" ht="14.25" customHeight="1">
      <c r="G2658" s="3" t="s">
        <v>2701</v>
      </c>
    </row>
    <row r="2659" ht="14.25" customHeight="1">
      <c r="G2659" s="3" t="s">
        <v>2702</v>
      </c>
    </row>
    <row r="2660" ht="14.25" customHeight="1">
      <c r="G2660" s="3" t="s">
        <v>2703</v>
      </c>
    </row>
    <row r="2661" ht="14.25" customHeight="1">
      <c r="G2661" s="3" t="s">
        <v>2704</v>
      </c>
    </row>
    <row r="2662" ht="14.25" customHeight="1">
      <c r="G2662" s="3" t="s">
        <v>2705</v>
      </c>
    </row>
    <row r="2663" ht="14.25" customHeight="1">
      <c r="G2663" s="3" t="s">
        <v>2706</v>
      </c>
    </row>
    <row r="2664" ht="14.25" customHeight="1">
      <c r="G2664" s="3" t="s">
        <v>2707</v>
      </c>
    </row>
    <row r="2665" ht="14.25" customHeight="1">
      <c r="G2665" s="3" t="s">
        <v>2708</v>
      </c>
    </row>
    <row r="2666" ht="14.25" customHeight="1">
      <c r="G2666" s="3" t="s">
        <v>2709</v>
      </c>
    </row>
    <row r="2667" ht="14.25" customHeight="1">
      <c r="G2667" s="3" t="s">
        <v>2710</v>
      </c>
    </row>
    <row r="2668" ht="14.25" customHeight="1">
      <c r="G2668" s="3" t="s">
        <v>2711</v>
      </c>
    </row>
    <row r="2669" ht="14.25" customHeight="1">
      <c r="G2669" s="3" t="s">
        <v>2712</v>
      </c>
    </row>
    <row r="2670" ht="14.25" customHeight="1">
      <c r="G2670" s="3" t="s">
        <v>2713</v>
      </c>
    </row>
    <row r="2671" ht="14.25" customHeight="1">
      <c r="G2671" s="3" t="s">
        <v>2714</v>
      </c>
    </row>
    <row r="2672" ht="14.25" customHeight="1">
      <c r="G2672" s="3" t="s">
        <v>2715</v>
      </c>
    </row>
    <row r="2673" ht="14.25" customHeight="1">
      <c r="G2673" s="3" t="s">
        <v>2716</v>
      </c>
    </row>
    <row r="2674" ht="14.25" customHeight="1">
      <c r="G2674" s="3" t="s">
        <v>2717</v>
      </c>
    </row>
    <row r="2675" ht="14.25" customHeight="1">
      <c r="G2675" s="3" t="s">
        <v>2718</v>
      </c>
    </row>
    <row r="2676" ht="14.25" customHeight="1">
      <c r="G2676" s="3" t="s">
        <v>2719</v>
      </c>
    </row>
    <row r="2677" ht="14.25" customHeight="1">
      <c r="G2677" s="3" t="s">
        <v>2720</v>
      </c>
    </row>
    <row r="2678" ht="14.25" customHeight="1">
      <c r="G2678" s="3" t="s">
        <v>2721</v>
      </c>
    </row>
    <row r="2679" ht="14.25" customHeight="1">
      <c r="G2679" s="3" t="s">
        <v>2722</v>
      </c>
    </row>
    <row r="2680" ht="14.25" customHeight="1">
      <c r="G2680" s="3" t="s">
        <v>2723</v>
      </c>
    </row>
    <row r="2681" ht="14.25" customHeight="1">
      <c r="G2681" s="3" t="s">
        <v>2724</v>
      </c>
    </row>
    <row r="2682" ht="14.25" customHeight="1">
      <c r="G2682" s="3" t="s">
        <v>2725</v>
      </c>
    </row>
    <row r="2683" ht="14.25" customHeight="1">
      <c r="G2683" s="3" t="s">
        <v>2726</v>
      </c>
    </row>
    <row r="2684" ht="14.25" customHeight="1">
      <c r="G2684" s="3" t="s">
        <v>2727</v>
      </c>
    </row>
    <row r="2685" ht="14.25" customHeight="1">
      <c r="G2685" s="3" t="s">
        <v>2728</v>
      </c>
    </row>
    <row r="2686" ht="14.25" customHeight="1">
      <c r="G2686" s="3" t="s">
        <v>2729</v>
      </c>
    </row>
    <row r="2687" ht="14.25" customHeight="1">
      <c r="G2687" s="3" t="s">
        <v>2730</v>
      </c>
    </row>
    <row r="2688" ht="14.25" customHeight="1">
      <c r="G2688" s="3" t="s">
        <v>2731</v>
      </c>
    </row>
    <row r="2689" ht="14.25" customHeight="1">
      <c r="G2689" s="3" t="s">
        <v>2732</v>
      </c>
    </row>
    <row r="2690" ht="14.25" customHeight="1">
      <c r="G2690" s="3" t="s">
        <v>2733</v>
      </c>
    </row>
    <row r="2691" ht="14.25" customHeight="1">
      <c r="G2691" s="3" t="s">
        <v>2734</v>
      </c>
    </row>
    <row r="2692" ht="14.25" customHeight="1">
      <c r="G2692" s="3" t="s">
        <v>2735</v>
      </c>
    </row>
    <row r="2693" ht="14.25" customHeight="1">
      <c r="G2693" s="3" t="s">
        <v>2736</v>
      </c>
    </row>
    <row r="2694" ht="14.25" customHeight="1">
      <c r="G2694" s="3" t="s">
        <v>2737</v>
      </c>
    </row>
    <row r="2695" ht="14.25" customHeight="1">
      <c r="G2695" s="3" t="s">
        <v>2738</v>
      </c>
    </row>
    <row r="2696" ht="14.25" customHeight="1">
      <c r="G2696" s="3" t="s">
        <v>2739</v>
      </c>
    </row>
    <row r="2697" ht="14.25" customHeight="1">
      <c r="G2697" s="3" t="s">
        <v>2740</v>
      </c>
    </row>
    <row r="2698" ht="14.25" customHeight="1">
      <c r="G2698" s="3" t="s">
        <v>2741</v>
      </c>
    </row>
    <row r="2699" ht="14.25" customHeight="1">
      <c r="G2699" s="3" t="s">
        <v>2742</v>
      </c>
    </row>
    <row r="2700" ht="14.25" customHeight="1">
      <c r="G2700" s="3" t="s">
        <v>2743</v>
      </c>
    </row>
    <row r="2701" ht="14.25" customHeight="1">
      <c r="G2701" s="3" t="s">
        <v>2744</v>
      </c>
    </row>
    <row r="2702" ht="14.25" customHeight="1">
      <c r="G2702" s="3" t="s">
        <v>2745</v>
      </c>
    </row>
    <row r="2703" ht="14.25" customHeight="1">
      <c r="G2703" s="3" t="s">
        <v>2746</v>
      </c>
    </row>
    <row r="2704" ht="14.25" customHeight="1">
      <c r="G2704" s="3" t="s">
        <v>2747</v>
      </c>
    </row>
    <row r="2705" ht="14.25" customHeight="1">
      <c r="G2705" s="3" t="s">
        <v>2748</v>
      </c>
    </row>
    <row r="2706" ht="14.25" customHeight="1">
      <c r="G2706" s="3" t="s">
        <v>2749</v>
      </c>
    </row>
    <row r="2707" ht="14.25" customHeight="1">
      <c r="G2707" s="3" t="s">
        <v>2750</v>
      </c>
    </row>
    <row r="2708" ht="14.25" customHeight="1">
      <c r="G2708" s="3" t="s">
        <v>2751</v>
      </c>
    </row>
    <row r="2709" ht="14.25" customHeight="1">
      <c r="G2709" s="3" t="s">
        <v>2752</v>
      </c>
    </row>
    <row r="2710" ht="14.25" customHeight="1">
      <c r="G2710" s="3" t="s">
        <v>2753</v>
      </c>
    </row>
    <row r="2711" ht="14.25" customHeight="1">
      <c r="G2711" s="3" t="s">
        <v>2754</v>
      </c>
    </row>
    <row r="2712" ht="14.25" customHeight="1">
      <c r="G2712" s="3" t="s">
        <v>2755</v>
      </c>
    </row>
    <row r="2713" ht="14.25" customHeight="1">
      <c r="G2713" s="3" t="s">
        <v>2756</v>
      </c>
    </row>
    <row r="2714" ht="14.25" customHeight="1">
      <c r="G2714" s="3" t="s">
        <v>2757</v>
      </c>
    </row>
    <row r="2715" ht="14.25" customHeight="1">
      <c r="G2715" s="3" t="s">
        <v>2758</v>
      </c>
    </row>
    <row r="2716" ht="14.25" customHeight="1">
      <c r="G2716" s="3" t="s">
        <v>2759</v>
      </c>
    </row>
    <row r="2717" ht="14.25" customHeight="1">
      <c r="G2717" s="3" t="s">
        <v>2760</v>
      </c>
    </row>
    <row r="2718" ht="14.25" customHeight="1">
      <c r="G2718" s="3" t="s">
        <v>2761</v>
      </c>
    </row>
    <row r="2719" ht="14.25" customHeight="1">
      <c r="G2719" s="3" t="s">
        <v>2762</v>
      </c>
    </row>
    <row r="2720" ht="14.25" customHeight="1">
      <c r="G2720" s="3" t="s">
        <v>2763</v>
      </c>
    </row>
    <row r="2721" ht="14.25" customHeight="1">
      <c r="G2721" s="3" t="s">
        <v>2764</v>
      </c>
    </row>
    <row r="2722" ht="14.25" customHeight="1">
      <c r="G2722" s="3" t="s">
        <v>2765</v>
      </c>
    </row>
    <row r="2723" ht="14.25" customHeight="1">
      <c r="G2723" s="3" t="s">
        <v>2766</v>
      </c>
    </row>
    <row r="2724" ht="14.25" customHeight="1">
      <c r="G2724" s="3" t="s">
        <v>2767</v>
      </c>
    </row>
    <row r="2725" ht="14.25" customHeight="1">
      <c r="G2725" s="3" t="s">
        <v>2768</v>
      </c>
    </row>
    <row r="2726" ht="14.25" customHeight="1">
      <c r="G2726" s="3" t="s">
        <v>2769</v>
      </c>
    </row>
    <row r="2727" ht="14.25" customHeight="1">
      <c r="G2727" s="3" t="s">
        <v>2770</v>
      </c>
    </row>
    <row r="2728" ht="14.25" customHeight="1">
      <c r="G2728" s="3" t="s">
        <v>2771</v>
      </c>
    </row>
    <row r="2729" ht="14.25" customHeight="1">
      <c r="G2729" s="3" t="s">
        <v>2772</v>
      </c>
    </row>
    <row r="2730" ht="14.25" customHeight="1">
      <c r="G2730" s="3" t="s">
        <v>2773</v>
      </c>
    </row>
    <row r="2731" ht="14.25" customHeight="1">
      <c r="G2731" s="3" t="s">
        <v>2774</v>
      </c>
    </row>
    <row r="2732" ht="14.25" customHeight="1">
      <c r="G2732" s="3" t="s">
        <v>2775</v>
      </c>
    </row>
    <row r="2733" ht="14.25" customHeight="1">
      <c r="G2733" s="3" t="s">
        <v>2776</v>
      </c>
    </row>
    <row r="2734" ht="14.25" customHeight="1">
      <c r="G2734" s="3" t="s">
        <v>2777</v>
      </c>
    </row>
    <row r="2735" ht="14.25" customHeight="1">
      <c r="G2735" s="3" t="s">
        <v>2778</v>
      </c>
    </row>
    <row r="2736" ht="14.25" customHeight="1">
      <c r="G2736" s="3" t="s">
        <v>2779</v>
      </c>
    </row>
    <row r="2737" ht="14.25" customHeight="1">
      <c r="G2737" s="3" t="s">
        <v>2780</v>
      </c>
    </row>
    <row r="2738" ht="14.25" customHeight="1">
      <c r="G2738" s="3" t="s">
        <v>2781</v>
      </c>
    </row>
    <row r="2739" ht="14.25" customHeight="1">
      <c r="G2739" s="3" t="s">
        <v>2782</v>
      </c>
    </row>
    <row r="2740" ht="14.25" customHeight="1">
      <c r="G2740" s="3" t="s">
        <v>2783</v>
      </c>
    </row>
    <row r="2741" ht="14.25" customHeight="1">
      <c r="G2741" s="3" t="s">
        <v>2784</v>
      </c>
    </row>
    <row r="2742" ht="14.25" customHeight="1">
      <c r="G2742" s="3" t="s">
        <v>2785</v>
      </c>
    </row>
    <row r="2743" ht="14.25" customHeight="1">
      <c r="G2743" s="3" t="s">
        <v>2786</v>
      </c>
    </row>
    <row r="2744" ht="14.25" customHeight="1">
      <c r="G2744" s="3" t="s">
        <v>2787</v>
      </c>
    </row>
    <row r="2745" ht="14.25" customHeight="1">
      <c r="G2745" s="3" t="s">
        <v>2788</v>
      </c>
    </row>
    <row r="2746" ht="14.25" customHeight="1">
      <c r="G2746" s="3" t="s">
        <v>2789</v>
      </c>
    </row>
    <row r="2747" ht="14.25" customHeight="1">
      <c r="G2747" s="3" t="s">
        <v>2790</v>
      </c>
    </row>
    <row r="2748" ht="14.25" customHeight="1">
      <c r="G2748" s="3" t="s">
        <v>2791</v>
      </c>
    </row>
    <row r="2749" ht="14.25" customHeight="1">
      <c r="G2749" s="3" t="s">
        <v>2792</v>
      </c>
    </row>
    <row r="2750" ht="14.25" customHeight="1">
      <c r="G2750" s="3" t="s">
        <v>2793</v>
      </c>
    </row>
    <row r="2751" ht="14.25" customHeight="1">
      <c r="G2751" s="3" t="s">
        <v>2794</v>
      </c>
    </row>
    <row r="2752" ht="14.25" customHeight="1">
      <c r="G2752" s="3" t="s">
        <v>2795</v>
      </c>
    </row>
    <row r="2753" ht="14.25" customHeight="1">
      <c r="G2753" s="3" t="s">
        <v>2796</v>
      </c>
    </row>
    <row r="2754" ht="14.25" customHeight="1">
      <c r="G2754" s="3" t="s">
        <v>2797</v>
      </c>
    </row>
    <row r="2755" ht="14.25" customHeight="1">
      <c r="G2755" s="3" t="s">
        <v>2798</v>
      </c>
    </row>
    <row r="2756" ht="14.25" customHeight="1">
      <c r="G2756" s="3" t="s">
        <v>2799</v>
      </c>
    </row>
    <row r="2757" ht="14.25" customHeight="1">
      <c r="G2757" s="3" t="s">
        <v>2800</v>
      </c>
    </row>
    <row r="2758" ht="14.25" customHeight="1">
      <c r="G2758" s="3" t="s">
        <v>2801</v>
      </c>
    </row>
    <row r="2759" ht="14.25" customHeight="1">
      <c r="G2759" s="3" t="s">
        <v>2802</v>
      </c>
    </row>
    <row r="2760" ht="14.25" customHeight="1">
      <c r="G2760" s="3" t="s">
        <v>2803</v>
      </c>
    </row>
    <row r="2761" ht="14.25" customHeight="1">
      <c r="G2761" s="3" t="s">
        <v>2804</v>
      </c>
    </row>
    <row r="2762" ht="14.25" customHeight="1">
      <c r="G2762" s="3" t="s">
        <v>2805</v>
      </c>
    </row>
    <row r="2763" ht="14.25" customHeight="1">
      <c r="G2763" s="3" t="s">
        <v>2806</v>
      </c>
    </row>
    <row r="2764" ht="14.25" customHeight="1">
      <c r="G2764" s="3" t="s">
        <v>2807</v>
      </c>
    </row>
    <row r="2765" ht="14.25" customHeight="1">
      <c r="G2765" s="3" t="s">
        <v>2808</v>
      </c>
    </row>
    <row r="2766" ht="14.25" customHeight="1">
      <c r="G2766" s="3" t="s">
        <v>2809</v>
      </c>
    </row>
    <row r="2767" ht="14.25" customHeight="1">
      <c r="G2767" s="3" t="s">
        <v>2810</v>
      </c>
    </row>
    <row r="2768" ht="14.25" customHeight="1">
      <c r="G2768" s="3" t="s">
        <v>2811</v>
      </c>
    </row>
    <row r="2769" ht="14.25" customHeight="1">
      <c r="G2769" s="3" t="s">
        <v>2812</v>
      </c>
    </row>
    <row r="2770" ht="14.25" customHeight="1">
      <c r="G2770" s="3" t="s">
        <v>2813</v>
      </c>
    </row>
    <row r="2771" ht="14.25" customHeight="1">
      <c r="G2771" s="3" t="s">
        <v>2814</v>
      </c>
    </row>
    <row r="2772" ht="14.25" customHeight="1">
      <c r="G2772" s="3" t="s">
        <v>2815</v>
      </c>
    </row>
    <row r="2773" ht="14.25" customHeight="1">
      <c r="G2773" s="3" t="s">
        <v>2816</v>
      </c>
    </row>
    <row r="2774" ht="14.25" customHeight="1">
      <c r="G2774" s="3" t="s">
        <v>2817</v>
      </c>
    </row>
    <row r="2775" ht="14.25" customHeight="1">
      <c r="G2775" s="3" t="s">
        <v>2818</v>
      </c>
    </row>
    <row r="2776" ht="14.25" customHeight="1">
      <c r="G2776" s="3" t="s">
        <v>2819</v>
      </c>
    </row>
    <row r="2777" ht="14.25" customHeight="1">
      <c r="G2777" s="3" t="s">
        <v>2820</v>
      </c>
    </row>
    <row r="2778" ht="14.25" customHeight="1">
      <c r="G2778" s="3" t="s">
        <v>2821</v>
      </c>
    </row>
    <row r="2779" ht="14.25" customHeight="1">
      <c r="G2779" s="3" t="s">
        <v>2822</v>
      </c>
    </row>
    <row r="2780" ht="14.25" customHeight="1">
      <c r="G2780" s="3" t="s">
        <v>2823</v>
      </c>
    </row>
    <row r="2781" ht="14.25" customHeight="1">
      <c r="G2781" s="3" t="s">
        <v>2824</v>
      </c>
    </row>
    <row r="2782" ht="14.25" customHeight="1">
      <c r="G2782" s="3" t="s">
        <v>2825</v>
      </c>
    </row>
    <row r="2783" ht="14.25" customHeight="1">
      <c r="G2783" s="3" t="s">
        <v>2826</v>
      </c>
    </row>
    <row r="2784" ht="14.25" customHeight="1">
      <c r="G2784" s="3" t="s">
        <v>2827</v>
      </c>
    </row>
    <row r="2785" ht="14.25" customHeight="1">
      <c r="G2785" s="3" t="s">
        <v>2828</v>
      </c>
    </row>
    <row r="2786" ht="14.25" customHeight="1">
      <c r="G2786" s="3" t="s">
        <v>2829</v>
      </c>
    </row>
    <row r="2787" ht="14.25" customHeight="1">
      <c r="G2787" s="3" t="s">
        <v>2830</v>
      </c>
    </row>
    <row r="2788" ht="14.25" customHeight="1">
      <c r="G2788" s="3" t="s">
        <v>2831</v>
      </c>
    </row>
    <row r="2789" ht="14.25" customHeight="1">
      <c r="G2789" s="3" t="s">
        <v>2832</v>
      </c>
    </row>
    <row r="2790" ht="14.25" customHeight="1">
      <c r="G2790" s="3" t="s">
        <v>2833</v>
      </c>
    </row>
    <row r="2791" ht="14.25" customHeight="1">
      <c r="G2791" s="3" t="s">
        <v>2834</v>
      </c>
    </row>
    <row r="2792" ht="14.25" customHeight="1">
      <c r="G2792" s="3" t="s">
        <v>2835</v>
      </c>
    </row>
    <row r="2793" ht="14.25" customHeight="1">
      <c r="G2793" s="3" t="s">
        <v>2836</v>
      </c>
    </row>
    <row r="2794" ht="14.25" customHeight="1">
      <c r="G2794" s="3" t="s">
        <v>2837</v>
      </c>
    </row>
    <row r="2795" ht="14.25" customHeight="1">
      <c r="G2795" s="3" t="s">
        <v>2838</v>
      </c>
    </row>
    <row r="2796" ht="14.25" customHeight="1">
      <c r="G2796" s="3" t="s">
        <v>2839</v>
      </c>
    </row>
    <row r="2797" ht="14.25" customHeight="1">
      <c r="G2797" s="3" t="s">
        <v>2840</v>
      </c>
    </row>
    <row r="2798" ht="14.25" customHeight="1">
      <c r="G2798" s="3" t="s">
        <v>2841</v>
      </c>
    </row>
    <row r="2799" ht="14.25" customHeight="1">
      <c r="G2799" s="3" t="s">
        <v>2842</v>
      </c>
    </row>
    <row r="2800" ht="14.25" customHeight="1">
      <c r="G2800" s="3" t="s">
        <v>2843</v>
      </c>
    </row>
    <row r="2801" ht="14.25" customHeight="1">
      <c r="G2801" s="3" t="s">
        <v>2844</v>
      </c>
    </row>
    <row r="2802" ht="14.25" customHeight="1">
      <c r="G2802" s="3" t="s">
        <v>2845</v>
      </c>
    </row>
    <row r="2803" ht="14.25" customHeight="1">
      <c r="G2803" s="3" t="s">
        <v>2846</v>
      </c>
    </row>
    <row r="2804" ht="14.25" customHeight="1">
      <c r="G2804" s="3" t="s">
        <v>2847</v>
      </c>
    </row>
    <row r="2805" ht="14.25" customHeight="1">
      <c r="G2805" s="3" t="s">
        <v>2848</v>
      </c>
    </row>
    <row r="2806" ht="14.25" customHeight="1">
      <c r="G2806" s="3" t="s">
        <v>2849</v>
      </c>
    </row>
    <row r="2807" ht="14.25" customHeight="1">
      <c r="G2807" s="3" t="s">
        <v>2850</v>
      </c>
    </row>
    <row r="2808" ht="14.25" customHeight="1">
      <c r="G2808" s="3" t="s">
        <v>2851</v>
      </c>
    </row>
    <row r="2809" ht="14.25" customHeight="1">
      <c r="G2809" s="3" t="s">
        <v>2852</v>
      </c>
    </row>
    <row r="2810" ht="14.25" customHeight="1">
      <c r="G2810" s="3" t="s">
        <v>2853</v>
      </c>
    </row>
    <row r="2811" ht="14.25" customHeight="1">
      <c r="G2811" s="3" t="s">
        <v>2854</v>
      </c>
    </row>
    <row r="2812" ht="14.25" customHeight="1">
      <c r="G2812" s="3" t="s">
        <v>2855</v>
      </c>
    </row>
    <row r="2813" ht="14.25" customHeight="1">
      <c r="G2813" s="3" t="s">
        <v>2856</v>
      </c>
    </row>
    <row r="2814" ht="14.25" customHeight="1">
      <c r="G2814" s="3" t="s">
        <v>2857</v>
      </c>
    </row>
    <row r="2815" ht="14.25" customHeight="1">
      <c r="G2815" s="3" t="s">
        <v>2858</v>
      </c>
    </row>
    <row r="2816" ht="14.25" customHeight="1">
      <c r="G2816" s="3" t="s">
        <v>2859</v>
      </c>
    </row>
    <row r="2817" ht="14.25" customHeight="1">
      <c r="G2817" s="3" t="s">
        <v>2860</v>
      </c>
    </row>
    <row r="2818" ht="14.25" customHeight="1">
      <c r="G2818" s="3" t="s">
        <v>2861</v>
      </c>
    </row>
    <row r="2819" ht="14.25" customHeight="1">
      <c r="G2819" s="3" t="s">
        <v>2862</v>
      </c>
    </row>
    <row r="2820" ht="14.25" customHeight="1">
      <c r="G2820" s="3" t="s">
        <v>2863</v>
      </c>
    </row>
    <row r="2821" ht="14.25" customHeight="1">
      <c r="G2821" s="3" t="s">
        <v>2864</v>
      </c>
    </row>
    <row r="2822" ht="14.25" customHeight="1">
      <c r="G2822" s="3" t="s">
        <v>2865</v>
      </c>
    </row>
    <row r="2823" ht="14.25" customHeight="1">
      <c r="G2823" s="3" t="s">
        <v>2866</v>
      </c>
    </row>
    <row r="2824" ht="14.25" customHeight="1">
      <c r="G2824" s="3" t="s">
        <v>2867</v>
      </c>
    </row>
    <row r="2825" ht="14.25" customHeight="1">
      <c r="G2825" s="3" t="s">
        <v>2868</v>
      </c>
    </row>
    <row r="2826" ht="14.25" customHeight="1">
      <c r="G2826" s="3" t="s">
        <v>2869</v>
      </c>
    </row>
    <row r="2827" ht="14.25" customHeight="1">
      <c r="G2827" s="3" t="s">
        <v>2870</v>
      </c>
    </row>
    <row r="2828" ht="14.25" customHeight="1">
      <c r="G2828" s="3" t="s">
        <v>2871</v>
      </c>
    </row>
    <row r="2829" ht="14.25" customHeight="1">
      <c r="G2829" s="3" t="s">
        <v>2872</v>
      </c>
    </row>
    <row r="2830" ht="14.25" customHeight="1">
      <c r="G2830" s="3" t="s">
        <v>2873</v>
      </c>
    </row>
    <row r="2831" ht="14.25" customHeight="1">
      <c r="G2831" s="3" t="s">
        <v>2874</v>
      </c>
    </row>
    <row r="2832" ht="14.25" customHeight="1">
      <c r="G2832" s="3" t="s">
        <v>2875</v>
      </c>
    </row>
    <row r="2833" ht="14.25" customHeight="1">
      <c r="G2833" s="3" t="s">
        <v>2876</v>
      </c>
    </row>
    <row r="2834" ht="14.25" customHeight="1">
      <c r="G2834" s="3" t="s">
        <v>2877</v>
      </c>
    </row>
    <row r="2835" ht="14.25" customHeight="1">
      <c r="G2835" s="3" t="s">
        <v>2878</v>
      </c>
    </row>
    <row r="2836" ht="14.25" customHeight="1">
      <c r="G2836" s="3" t="s">
        <v>2879</v>
      </c>
    </row>
    <row r="2837" ht="14.25" customHeight="1">
      <c r="G2837" s="3" t="s">
        <v>2880</v>
      </c>
    </row>
    <row r="2838" ht="14.25" customHeight="1">
      <c r="G2838" s="3" t="s">
        <v>2881</v>
      </c>
    </row>
    <row r="2839" ht="14.25" customHeight="1">
      <c r="G2839" s="3" t="s">
        <v>2882</v>
      </c>
    </row>
    <row r="2840" ht="14.25" customHeight="1">
      <c r="G2840" s="3" t="s">
        <v>2883</v>
      </c>
    </row>
    <row r="2841" ht="14.25" customHeight="1">
      <c r="G2841" s="3" t="s">
        <v>2884</v>
      </c>
    </row>
    <row r="2842" ht="14.25" customHeight="1">
      <c r="G2842" s="3" t="s">
        <v>2885</v>
      </c>
    </row>
    <row r="2843" ht="14.25" customHeight="1">
      <c r="G2843" s="3" t="s">
        <v>2886</v>
      </c>
    </row>
    <row r="2844" ht="14.25" customHeight="1">
      <c r="G2844" s="3" t="s">
        <v>2887</v>
      </c>
    </row>
    <row r="2845" ht="14.25" customHeight="1">
      <c r="G2845" s="3" t="s">
        <v>2888</v>
      </c>
    </row>
    <row r="2846" ht="14.25" customHeight="1">
      <c r="G2846" s="3" t="s">
        <v>2889</v>
      </c>
    </row>
    <row r="2847" ht="14.25" customHeight="1">
      <c r="G2847" s="3" t="s">
        <v>2890</v>
      </c>
    </row>
    <row r="2848" ht="14.25" customHeight="1">
      <c r="G2848" s="3" t="s">
        <v>2891</v>
      </c>
    </row>
    <row r="2849" ht="14.25" customHeight="1">
      <c r="G2849" s="3" t="s">
        <v>2892</v>
      </c>
    </row>
    <row r="2850" ht="14.25" customHeight="1">
      <c r="G2850" s="3" t="s">
        <v>2893</v>
      </c>
    </row>
    <row r="2851" ht="14.25" customHeight="1">
      <c r="G2851" s="3" t="s">
        <v>2894</v>
      </c>
    </row>
    <row r="2852" ht="14.25" customHeight="1">
      <c r="G2852" s="3" t="s">
        <v>2895</v>
      </c>
    </row>
    <row r="2853" ht="14.25" customHeight="1">
      <c r="G2853" s="3" t="s">
        <v>2896</v>
      </c>
    </row>
    <row r="2854" ht="14.25" customHeight="1">
      <c r="G2854" s="3" t="s">
        <v>2897</v>
      </c>
    </row>
    <row r="2855" ht="14.25" customHeight="1">
      <c r="G2855" s="3" t="s">
        <v>2898</v>
      </c>
    </row>
    <row r="2856" ht="14.25" customHeight="1">
      <c r="G2856" s="3" t="s">
        <v>2899</v>
      </c>
    </row>
    <row r="2857" ht="14.25" customHeight="1">
      <c r="G2857" s="3" t="s">
        <v>2900</v>
      </c>
    </row>
    <row r="2858" ht="14.25" customHeight="1">
      <c r="G2858" s="3" t="s">
        <v>2901</v>
      </c>
    </row>
    <row r="2859" ht="14.25" customHeight="1">
      <c r="G2859" s="3" t="s">
        <v>2902</v>
      </c>
    </row>
    <row r="2860" ht="14.25" customHeight="1">
      <c r="G2860" s="3" t="s">
        <v>2903</v>
      </c>
    </row>
    <row r="2861" ht="14.25" customHeight="1">
      <c r="G2861" s="3" t="s">
        <v>2904</v>
      </c>
    </row>
    <row r="2862" ht="14.25" customHeight="1">
      <c r="G2862" s="3" t="s">
        <v>2905</v>
      </c>
    </row>
    <row r="2863" ht="14.25" customHeight="1">
      <c r="G2863" s="3" t="s">
        <v>2906</v>
      </c>
    </row>
    <row r="2864" ht="14.25" customHeight="1">
      <c r="G2864" s="3" t="s">
        <v>2907</v>
      </c>
    </row>
    <row r="2865" ht="14.25" customHeight="1">
      <c r="G2865" s="3" t="s">
        <v>2908</v>
      </c>
    </row>
    <row r="2866" ht="14.25" customHeight="1">
      <c r="G2866" s="3" t="s">
        <v>2909</v>
      </c>
    </row>
    <row r="2867" ht="14.25" customHeight="1">
      <c r="G2867" s="3" t="s">
        <v>2910</v>
      </c>
    </row>
    <row r="2868" ht="14.25" customHeight="1">
      <c r="G2868" s="3" t="s">
        <v>2911</v>
      </c>
    </row>
    <row r="2869" ht="14.25" customHeight="1">
      <c r="G2869" s="3" t="s">
        <v>2912</v>
      </c>
    </row>
    <row r="2870" ht="14.25" customHeight="1">
      <c r="G2870" s="3" t="s">
        <v>2913</v>
      </c>
    </row>
    <row r="2871" ht="14.25" customHeight="1">
      <c r="G2871" s="3" t="s">
        <v>2914</v>
      </c>
    </row>
    <row r="2872" ht="14.25" customHeight="1">
      <c r="G2872" s="3" t="s">
        <v>2915</v>
      </c>
    </row>
    <row r="2873" ht="14.25" customHeight="1">
      <c r="G2873" s="3" t="s">
        <v>2916</v>
      </c>
    </row>
    <row r="2874" ht="14.25" customHeight="1">
      <c r="G2874" s="3" t="s">
        <v>2917</v>
      </c>
    </row>
    <row r="2875" ht="14.25" customHeight="1">
      <c r="G2875" s="3" t="s">
        <v>2918</v>
      </c>
    </row>
    <row r="2876" ht="14.25" customHeight="1">
      <c r="G2876" s="3" t="s">
        <v>2919</v>
      </c>
    </row>
    <row r="2877" ht="14.25" customHeight="1">
      <c r="G2877" s="3" t="s">
        <v>2920</v>
      </c>
    </row>
    <row r="2878" ht="14.25" customHeight="1">
      <c r="G2878" s="3" t="s">
        <v>2921</v>
      </c>
    </row>
    <row r="2879" ht="14.25" customHeight="1">
      <c r="G2879" s="3" t="s">
        <v>2922</v>
      </c>
    </row>
    <row r="2880" ht="14.25" customHeight="1">
      <c r="G2880" s="3" t="s">
        <v>2923</v>
      </c>
    </row>
    <row r="2881" ht="14.25" customHeight="1">
      <c r="G2881" s="3" t="s">
        <v>2924</v>
      </c>
    </row>
    <row r="2882" ht="14.25" customHeight="1">
      <c r="G2882" s="3" t="s">
        <v>2925</v>
      </c>
    </row>
    <row r="2883" ht="14.25" customHeight="1">
      <c r="G2883" s="3" t="s">
        <v>2926</v>
      </c>
    </row>
    <row r="2884" ht="14.25" customHeight="1">
      <c r="G2884" s="3" t="s">
        <v>2927</v>
      </c>
    </row>
    <row r="2885" ht="14.25" customHeight="1">
      <c r="G2885" s="3" t="s">
        <v>2928</v>
      </c>
    </row>
    <row r="2886" ht="14.25" customHeight="1">
      <c r="G2886" s="3" t="s">
        <v>2929</v>
      </c>
    </row>
    <row r="2887" ht="14.25" customHeight="1">
      <c r="G2887" s="3" t="s">
        <v>2930</v>
      </c>
    </row>
    <row r="2888" ht="14.25" customHeight="1">
      <c r="G2888" s="3" t="s">
        <v>2931</v>
      </c>
    </row>
    <row r="2889" ht="14.25" customHeight="1">
      <c r="G2889" s="3" t="s">
        <v>2932</v>
      </c>
    </row>
    <row r="2890" ht="14.25" customHeight="1">
      <c r="G2890" s="3" t="s">
        <v>2933</v>
      </c>
    </row>
    <row r="2891" ht="14.25" customHeight="1">
      <c r="G2891" s="3" t="s">
        <v>2934</v>
      </c>
    </row>
    <row r="2892" ht="14.25" customHeight="1">
      <c r="G2892" s="3" t="s">
        <v>2935</v>
      </c>
    </row>
    <row r="2893" ht="14.25" customHeight="1">
      <c r="G2893" s="3" t="s">
        <v>2936</v>
      </c>
    </row>
    <row r="2894" ht="14.25" customHeight="1">
      <c r="G2894" s="3" t="s">
        <v>2937</v>
      </c>
    </row>
    <row r="2895" ht="14.25" customHeight="1">
      <c r="G2895" s="3" t="s">
        <v>2938</v>
      </c>
    </row>
    <row r="2896" ht="14.25" customHeight="1">
      <c r="G2896" s="3" t="s">
        <v>2939</v>
      </c>
    </row>
    <row r="2897" ht="14.25" customHeight="1">
      <c r="G2897" s="3" t="s">
        <v>2940</v>
      </c>
    </row>
    <row r="2898" ht="14.25" customHeight="1">
      <c r="G2898" s="3" t="s">
        <v>2941</v>
      </c>
    </row>
    <row r="2899" ht="14.25" customHeight="1">
      <c r="G2899" s="3" t="s">
        <v>2942</v>
      </c>
    </row>
    <row r="2900" ht="14.25" customHeight="1">
      <c r="G2900" s="3" t="s">
        <v>2943</v>
      </c>
    </row>
    <row r="2901" ht="14.25" customHeight="1">
      <c r="G2901" s="3" t="s">
        <v>2944</v>
      </c>
    </row>
    <row r="2902" ht="14.25" customHeight="1">
      <c r="G2902" s="3" t="s">
        <v>2945</v>
      </c>
    </row>
    <row r="2903" ht="14.25" customHeight="1">
      <c r="G2903" s="3" t="s">
        <v>2946</v>
      </c>
    </row>
    <row r="2904" ht="14.25" customHeight="1">
      <c r="G2904" s="3" t="s">
        <v>2947</v>
      </c>
    </row>
    <row r="2905" ht="14.25" customHeight="1">
      <c r="G2905" s="3" t="s">
        <v>2948</v>
      </c>
    </row>
    <row r="2906" ht="14.25" customHeight="1">
      <c r="G2906" s="3" t="s">
        <v>2949</v>
      </c>
    </row>
    <row r="2907" ht="14.25" customHeight="1">
      <c r="G2907" s="3" t="s">
        <v>2950</v>
      </c>
    </row>
    <row r="2908" ht="14.25" customHeight="1">
      <c r="G2908" s="3" t="s">
        <v>2951</v>
      </c>
    </row>
    <row r="2909" ht="14.25" customHeight="1">
      <c r="G2909" s="3" t="s">
        <v>2952</v>
      </c>
    </row>
    <row r="2910" ht="14.25" customHeight="1">
      <c r="G2910" s="3" t="s">
        <v>2953</v>
      </c>
    </row>
    <row r="2911" ht="14.25" customHeight="1">
      <c r="G2911" s="3" t="s">
        <v>2954</v>
      </c>
    </row>
    <row r="2912" ht="14.25" customHeight="1">
      <c r="G2912" s="3" t="s">
        <v>2955</v>
      </c>
    </row>
    <row r="2913" ht="14.25" customHeight="1">
      <c r="G2913" s="3" t="s">
        <v>2956</v>
      </c>
    </row>
    <row r="2914" ht="14.25" customHeight="1">
      <c r="G2914" s="3" t="s">
        <v>2957</v>
      </c>
    </row>
    <row r="2915" ht="14.25" customHeight="1">
      <c r="G2915" s="3" t="s">
        <v>2958</v>
      </c>
    </row>
    <row r="2916" ht="14.25" customHeight="1">
      <c r="G2916" s="3" t="s">
        <v>2959</v>
      </c>
    </row>
    <row r="2917" ht="14.25" customHeight="1">
      <c r="G2917" s="3" t="s">
        <v>2960</v>
      </c>
    </row>
    <row r="2918" ht="14.25" customHeight="1">
      <c r="G2918" s="3" t="s">
        <v>2961</v>
      </c>
    </row>
    <row r="2919" ht="14.25" customHeight="1">
      <c r="G2919" s="3" t="s">
        <v>2962</v>
      </c>
    </row>
    <row r="2920" ht="14.25" customHeight="1">
      <c r="G2920" s="3" t="s">
        <v>2963</v>
      </c>
    </row>
    <row r="2921" ht="14.25" customHeight="1">
      <c r="G2921" s="3" t="s">
        <v>2964</v>
      </c>
    </row>
    <row r="2922" ht="14.25" customHeight="1">
      <c r="G2922" s="3" t="s">
        <v>2965</v>
      </c>
    </row>
    <row r="2923" ht="14.25" customHeight="1">
      <c r="G2923" s="3" t="s">
        <v>2966</v>
      </c>
    </row>
    <row r="2924" ht="14.25" customHeight="1">
      <c r="G2924" s="3" t="s">
        <v>2967</v>
      </c>
    </row>
    <row r="2925" ht="14.25" customHeight="1">
      <c r="G2925" s="3" t="s">
        <v>2968</v>
      </c>
    </row>
    <row r="2926" ht="14.25" customHeight="1">
      <c r="G2926" s="3" t="s">
        <v>2969</v>
      </c>
    </row>
    <row r="2927" ht="14.25" customHeight="1">
      <c r="G2927" s="3" t="s">
        <v>2970</v>
      </c>
    </row>
    <row r="2928" ht="14.25" customHeight="1">
      <c r="G2928" s="3" t="s">
        <v>2971</v>
      </c>
    </row>
    <row r="2929" ht="14.25" customHeight="1">
      <c r="G2929" s="3" t="s">
        <v>2972</v>
      </c>
    </row>
    <row r="2930" ht="14.25" customHeight="1">
      <c r="G2930" s="3" t="s">
        <v>2973</v>
      </c>
    </row>
    <row r="2931" ht="14.25" customHeight="1">
      <c r="G2931" s="3" t="s">
        <v>2974</v>
      </c>
    </row>
    <row r="2932" ht="14.25" customHeight="1">
      <c r="G2932" s="3" t="s">
        <v>2975</v>
      </c>
    </row>
    <row r="2933" ht="14.25" customHeight="1">
      <c r="G2933" s="3" t="s">
        <v>2976</v>
      </c>
    </row>
    <row r="2934" ht="14.25" customHeight="1">
      <c r="G2934" s="3" t="s">
        <v>2977</v>
      </c>
    </row>
    <row r="2935" ht="14.25" customHeight="1">
      <c r="G2935" s="3" t="s">
        <v>2978</v>
      </c>
    </row>
    <row r="2936" ht="14.25" customHeight="1">
      <c r="G2936" s="3" t="s">
        <v>2979</v>
      </c>
    </row>
    <row r="2937" ht="14.25" customHeight="1">
      <c r="G2937" s="3" t="s">
        <v>2980</v>
      </c>
    </row>
    <row r="2938" ht="14.25" customHeight="1">
      <c r="G2938" s="3" t="s">
        <v>2981</v>
      </c>
    </row>
    <row r="2939" ht="14.25" customHeight="1">
      <c r="G2939" s="3" t="s">
        <v>2982</v>
      </c>
    </row>
    <row r="2940" ht="14.25" customHeight="1">
      <c r="G2940" s="3" t="s">
        <v>2983</v>
      </c>
    </row>
    <row r="2941" ht="14.25" customHeight="1">
      <c r="G2941" s="3" t="s">
        <v>2984</v>
      </c>
    </row>
    <row r="2942" ht="14.25" customHeight="1">
      <c r="G2942" s="3" t="s">
        <v>2985</v>
      </c>
    </row>
    <row r="2943" ht="14.25" customHeight="1">
      <c r="G2943" s="3" t="s">
        <v>2986</v>
      </c>
    </row>
    <row r="2944" ht="14.25" customHeight="1">
      <c r="G2944" s="3" t="s">
        <v>2987</v>
      </c>
    </row>
    <row r="2945" ht="14.25" customHeight="1">
      <c r="G2945" s="3" t="s">
        <v>2988</v>
      </c>
    </row>
    <row r="2946" ht="14.25" customHeight="1">
      <c r="G2946" s="3" t="s">
        <v>2989</v>
      </c>
    </row>
    <row r="2947" ht="14.25" customHeight="1">
      <c r="G2947" s="3" t="s">
        <v>2990</v>
      </c>
    </row>
    <row r="2948" ht="14.25" customHeight="1">
      <c r="G2948" s="3" t="s">
        <v>2991</v>
      </c>
    </row>
    <row r="2949" ht="14.25" customHeight="1">
      <c r="G2949" s="3" t="s">
        <v>2992</v>
      </c>
    </row>
    <row r="2950" ht="14.25" customHeight="1">
      <c r="G2950" s="3" t="s">
        <v>2993</v>
      </c>
    </row>
    <row r="2951" ht="14.25" customHeight="1">
      <c r="G2951" s="3" t="s">
        <v>2994</v>
      </c>
    </row>
    <row r="2952" ht="14.25" customHeight="1">
      <c r="G2952" s="3" t="s">
        <v>2995</v>
      </c>
    </row>
    <row r="2953" ht="14.25" customHeight="1">
      <c r="G2953" s="3" t="s">
        <v>2996</v>
      </c>
    </row>
    <row r="2954" ht="14.25" customHeight="1">
      <c r="G2954" s="3" t="s">
        <v>2997</v>
      </c>
    </row>
    <row r="2955" ht="14.25" customHeight="1">
      <c r="G2955" s="3" t="s">
        <v>2998</v>
      </c>
    </row>
    <row r="2956" ht="14.25" customHeight="1">
      <c r="G2956" s="3" t="s">
        <v>2999</v>
      </c>
    </row>
    <row r="2957" ht="14.25" customHeight="1">
      <c r="G2957" s="3" t="s">
        <v>3000</v>
      </c>
    </row>
    <row r="2958" ht="14.25" customHeight="1">
      <c r="G2958" s="3" t="s">
        <v>3001</v>
      </c>
    </row>
    <row r="2959" ht="14.25" customHeight="1">
      <c r="G2959" s="3" t="s">
        <v>3002</v>
      </c>
    </row>
    <row r="2960" ht="14.25" customHeight="1">
      <c r="G2960" s="3" t="s">
        <v>3003</v>
      </c>
    </row>
    <row r="2961" ht="14.25" customHeight="1">
      <c r="G2961" s="3" t="s">
        <v>3004</v>
      </c>
    </row>
    <row r="2962" ht="14.25" customHeight="1">
      <c r="G2962" s="3" t="s">
        <v>3005</v>
      </c>
    </row>
    <row r="2963" ht="14.25" customHeight="1">
      <c r="G2963" s="3" t="s">
        <v>3006</v>
      </c>
    </row>
    <row r="2964" ht="14.25" customHeight="1">
      <c r="G2964" s="3" t="s">
        <v>3007</v>
      </c>
    </row>
    <row r="2965" ht="14.25" customHeight="1">
      <c r="G2965" s="3" t="s">
        <v>3008</v>
      </c>
    </row>
    <row r="2966" ht="14.25" customHeight="1">
      <c r="G2966" s="3" t="s">
        <v>3009</v>
      </c>
    </row>
    <row r="2967" ht="14.25" customHeight="1">
      <c r="G2967" s="3" t="s">
        <v>3010</v>
      </c>
    </row>
    <row r="2968" ht="14.25" customHeight="1">
      <c r="G2968" s="3" t="s">
        <v>3011</v>
      </c>
    </row>
    <row r="2969" ht="14.25" customHeight="1">
      <c r="G2969" s="3" t="s">
        <v>3012</v>
      </c>
    </row>
    <row r="2970" ht="14.25" customHeight="1">
      <c r="G2970" s="3" t="s">
        <v>3013</v>
      </c>
    </row>
    <row r="2971" ht="14.25" customHeight="1">
      <c r="G2971" s="3" t="s">
        <v>3014</v>
      </c>
    </row>
    <row r="2972" ht="14.25" customHeight="1">
      <c r="G2972" s="3" t="s">
        <v>3015</v>
      </c>
    </row>
    <row r="2973" ht="14.25" customHeight="1">
      <c r="G2973" s="3" t="s">
        <v>3016</v>
      </c>
    </row>
    <row r="2974" ht="14.25" customHeight="1">
      <c r="G2974" s="3" t="s">
        <v>3017</v>
      </c>
    </row>
    <row r="2975" ht="14.25" customHeight="1">
      <c r="G2975" s="3" t="s">
        <v>3018</v>
      </c>
    </row>
    <row r="2976" ht="14.25" customHeight="1">
      <c r="G2976" s="3" t="s">
        <v>3019</v>
      </c>
    </row>
    <row r="2977" ht="14.25" customHeight="1">
      <c r="G2977" s="3" t="s">
        <v>3020</v>
      </c>
    </row>
    <row r="2978" ht="14.25" customHeight="1">
      <c r="G2978" s="3" t="s">
        <v>3021</v>
      </c>
    </row>
    <row r="2979" ht="14.25" customHeight="1">
      <c r="G2979" s="3" t="s">
        <v>3022</v>
      </c>
    </row>
    <row r="2980" ht="14.25" customHeight="1">
      <c r="G2980" s="3" t="s">
        <v>3023</v>
      </c>
    </row>
    <row r="2981" ht="14.25" customHeight="1">
      <c r="G2981" s="3" t="s">
        <v>3024</v>
      </c>
    </row>
    <row r="2982" ht="14.25" customHeight="1">
      <c r="G2982" s="3" t="s">
        <v>3025</v>
      </c>
    </row>
    <row r="2983" ht="14.25" customHeight="1">
      <c r="G2983" s="3" t="s">
        <v>3026</v>
      </c>
    </row>
    <row r="2984" ht="14.25" customHeight="1">
      <c r="G2984" s="3" t="s">
        <v>3027</v>
      </c>
    </row>
    <row r="2985" ht="14.25" customHeight="1">
      <c r="G2985" s="3" t="s">
        <v>3028</v>
      </c>
    </row>
    <row r="2986" ht="14.25" customHeight="1">
      <c r="G2986" s="3" t="s">
        <v>3029</v>
      </c>
    </row>
    <row r="2987" ht="14.25" customHeight="1">
      <c r="G2987" s="3" t="s">
        <v>3030</v>
      </c>
    </row>
    <row r="2988" ht="14.25" customHeight="1">
      <c r="G2988" s="3" t="s">
        <v>3031</v>
      </c>
    </row>
    <row r="2989" ht="14.25" customHeight="1">
      <c r="G2989" s="3" t="s">
        <v>3032</v>
      </c>
    </row>
    <row r="2990" ht="14.25" customHeight="1">
      <c r="G2990" s="3" t="s">
        <v>3033</v>
      </c>
    </row>
    <row r="2991" ht="14.25" customHeight="1">
      <c r="G2991" s="3" t="s">
        <v>3034</v>
      </c>
    </row>
    <row r="2992" ht="14.25" customHeight="1">
      <c r="G2992" s="3" t="s">
        <v>3035</v>
      </c>
    </row>
    <row r="2993" ht="14.25" customHeight="1">
      <c r="G2993" s="3" t="s">
        <v>3036</v>
      </c>
    </row>
    <row r="2994" ht="14.25" customHeight="1">
      <c r="G2994" s="3" t="s">
        <v>3037</v>
      </c>
    </row>
    <row r="2995" ht="14.25" customHeight="1">
      <c r="G2995" s="3" t="s">
        <v>3038</v>
      </c>
    </row>
    <row r="2996" ht="14.25" customHeight="1">
      <c r="G2996" s="3" t="s">
        <v>3039</v>
      </c>
    </row>
    <row r="2997" ht="14.25" customHeight="1">
      <c r="G2997" s="3" t="s">
        <v>3040</v>
      </c>
    </row>
    <row r="2998" ht="14.25" customHeight="1">
      <c r="G2998" s="3" t="s">
        <v>3041</v>
      </c>
    </row>
    <row r="2999" ht="14.25" customHeight="1">
      <c r="G2999" s="3" t="s">
        <v>3042</v>
      </c>
    </row>
    <row r="3000" ht="14.25" customHeight="1">
      <c r="G3000" s="3" t="s">
        <v>3043</v>
      </c>
    </row>
    <row r="3001" ht="14.25" customHeight="1">
      <c r="G3001" s="3" t="s">
        <v>3044</v>
      </c>
    </row>
    <row r="3002" ht="14.25" customHeight="1">
      <c r="G3002" s="3" t="s">
        <v>3045</v>
      </c>
    </row>
    <row r="3003" ht="14.25" customHeight="1">
      <c r="G3003" s="3" t="s">
        <v>3046</v>
      </c>
    </row>
    <row r="3004" ht="14.25" customHeight="1">
      <c r="G3004" s="3" t="s">
        <v>3047</v>
      </c>
    </row>
    <row r="3005" ht="14.25" customHeight="1">
      <c r="G3005" s="3" t="s">
        <v>3048</v>
      </c>
    </row>
    <row r="3006" ht="14.25" customHeight="1">
      <c r="G3006" s="3" t="s">
        <v>3049</v>
      </c>
    </row>
    <row r="3007" ht="14.25" customHeight="1">
      <c r="G3007" s="3" t="s">
        <v>3050</v>
      </c>
    </row>
    <row r="3008" ht="14.25" customHeight="1">
      <c r="G3008" s="3" t="s">
        <v>3051</v>
      </c>
    </row>
    <row r="3009" ht="14.25" customHeight="1">
      <c r="G3009" s="3" t="s">
        <v>3052</v>
      </c>
    </row>
    <row r="3010" ht="14.25" customHeight="1">
      <c r="G3010" s="3" t="s">
        <v>3053</v>
      </c>
    </row>
    <row r="3011" ht="14.25" customHeight="1">
      <c r="G3011" s="3" t="s">
        <v>3054</v>
      </c>
    </row>
    <row r="3012" ht="14.25" customHeight="1">
      <c r="G3012" s="3" t="s">
        <v>3055</v>
      </c>
    </row>
    <row r="3013" ht="14.25" customHeight="1">
      <c r="G3013" s="3" t="s">
        <v>3056</v>
      </c>
    </row>
    <row r="3014" ht="14.25" customHeight="1">
      <c r="G3014" s="3" t="s">
        <v>3057</v>
      </c>
    </row>
    <row r="3015" ht="14.25" customHeight="1">
      <c r="G3015" s="3" t="s">
        <v>3058</v>
      </c>
    </row>
    <row r="3016" ht="14.25" customHeight="1">
      <c r="G3016" s="3" t="s">
        <v>3059</v>
      </c>
    </row>
    <row r="3017" ht="14.25" customHeight="1">
      <c r="G3017" s="3" t="s">
        <v>3060</v>
      </c>
    </row>
    <row r="3018" ht="14.25" customHeight="1">
      <c r="G3018" s="3" t="s">
        <v>3061</v>
      </c>
    </row>
    <row r="3019" ht="14.25" customHeight="1">
      <c r="G3019" s="3" t="s">
        <v>3062</v>
      </c>
    </row>
    <row r="3020" ht="14.25" customHeight="1">
      <c r="G3020" s="3" t="s">
        <v>3063</v>
      </c>
    </row>
    <row r="3021" ht="14.25" customHeight="1">
      <c r="G3021" s="3" t="s">
        <v>3064</v>
      </c>
    </row>
    <row r="3022" ht="14.25" customHeight="1">
      <c r="G3022" s="3" t="s">
        <v>3065</v>
      </c>
    </row>
    <row r="3023" ht="14.25" customHeight="1">
      <c r="G3023" s="3" t="s">
        <v>3066</v>
      </c>
    </row>
    <row r="3024" ht="14.25" customHeight="1">
      <c r="G3024" s="3" t="s">
        <v>3067</v>
      </c>
    </row>
    <row r="3025" ht="14.25" customHeight="1">
      <c r="G3025" s="3" t="s">
        <v>3068</v>
      </c>
    </row>
    <row r="3026" ht="14.25" customHeight="1">
      <c r="G3026" s="3" t="s">
        <v>3069</v>
      </c>
    </row>
    <row r="3027" ht="14.25" customHeight="1">
      <c r="G3027" s="3" t="s">
        <v>3070</v>
      </c>
    </row>
    <row r="3028" ht="14.25" customHeight="1">
      <c r="G3028" s="3" t="s">
        <v>3071</v>
      </c>
    </row>
    <row r="3029" ht="14.25" customHeight="1">
      <c r="G3029" s="3" t="s">
        <v>3072</v>
      </c>
    </row>
    <row r="3030" ht="14.25" customHeight="1">
      <c r="G3030" s="3" t="s">
        <v>3073</v>
      </c>
    </row>
    <row r="3031" ht="14.25" customHeight="1">
      <c r="G3031" s="3" t="s">
        <v>3074</v>
      </c>
    </row>
    <row r="3032" ht="14.25" customHeight="1">
      <c r="G3032" s="3" t="s">
        <v>3075</v>
      </c>
    </row>
    <row r="3033" ht="14.25" customHeight="1">
      <c r="G3033" s="3" t="s">
        <v>3076</v>
      </c>
    </row>
    <row r="3034" ht="14.25" customHeight="1">
      <c r="G3034" s="3" t="s">
        <v>3077</v>
      </c>
    </row>
    <row r="3035" ht="14.25" customHeight="1">
      <c r="G3035" s="3" t="s">
        <v>3078</v>
      </c>
    </row>
    <row r="3036" ht="14.25" customHeight="1">
      <c r="G3036" s="3" t="s">
        <v>3079</v>
      </c>
    </row>
    <row r="3037" ht="14.25" customHeight="1">
      <c r="G3037" s="3" t="s">
        <v>3080</v>
      </c>
    </row>
    <row r="3038" ht="14.25" customHeight="1">
      <c r="G3038" s="3" t="s">
        <v>3081</v>
      </c>
    </row>
    <row r="3039" ht="14.25" customHeight="1">
      <c r="G3039" s="3" t="s">
        <v>3082</v>
      </c>
    </row>
    <row r="3040" ht="14.25" customHeight="1">
      <c r="G3040" s="3" t="s">
        <v>3083</v>
      </c>
    </row>
    <row r="3041" ht="14.25" customHeight="1">
      <c r="G3041" s="3" t="s">
        <v>3084</v>
      </c>
    </row>
    <row r="3042" ht="14.25" customHeight="1">
      <c r="G3042" s="3" t="s">
        <v>3085</v>
      </c>
    </row>
    <row r="3043" ht="14.25" customHeight="1">
      <c r="G3043" s="3" t="s">
        <v>3086</v>
      </c>
    </row>
    <row r="3044" ht="14.25" customHeight="1">
      <c r="G3044" s="3" t="s">
        <v>3087</v>
      </c>
    </row>
    <row r="3045" ht="14.25" customHeight="1">
      <c r="G3045" s="3" t="s">
        <v>3088</v>
      </c>
    </row>
    <row r="3046" ht="14.25" customHeight="1">
      <c r="G3046" s="3" t="s">
        <v>3089</v>
      </c>
    </row>
    <row r="3047" ht="14.25" customHeight="1">
      <c r="G3047" s="3" t="s">
        <v>3090</v>
      </c>
    </row>
    <row r="3048" ht="14.25" customHeight="1">
      <c r="G3048" s="3" t="s">
        <v>3091</v>
      </c>
    </row>
    <row r="3049" ht="14.25" customHeight="1">
      <c r="G3049" s="3" t="s">
        <v>3092</v>
      </c>
    </row>
    <row r="3050" ht="14.25" customHeight="1">
      <c r="G3050" s="3" t="s">
        <v>3093</v>
      </c>
    </row>
    <row r="3051" ht="14.25" customHeight="1">
      <c r="G3051" s="3" t="s">
        <v>3094</v>
      </c>
    </row>
    <row r="3052" ht="14.25" customHeight="1">
      <c r="G3052" s="3" t="s">
        <v>3095</v>
      </c>
    </row>
    <row r="3053" ht="14.25" customHeight="1">
      <c r="G3053" s="3" t="s">
        <v>3096</v>
      </c>
    </row>
    <row r="3054" ht="14.25" customHeight="1">
      <c r="G3054" s="3" t="s">
        <v>3097</v>
      </c>
    </row>
    <row r="3055" ht="14.25" customHeight="1">
      <c r="G3055" s="3" t="s">
        <v>3098</v>
      </c>
    </row>
    <row r="3056" ht="14.25" customHeight="1">
      <c r="G3056" s="3" t="s">
        <v>3099</v>
      </c>
    </row>
    <row r="3057" ht="14.25" customHeight="1">
      <c r="G3057" s="3" t="s">
        <v>3100</v>
      </c>
    </row>
    <row r="3058" ht="14.25" customHeight="1">
      <c r="G3058" s="3" t="s">
        <v>3101</v>
      </c>
    </row>
    <row r="3059" ht="14.25" customHeight="1">
      <c r="G3059" s="3" t="s">
        <v>3102</v>
      </c>
    </row>
    <row r="3060" ht="14.25" customHeight="1">
      <c r="G3060" s="3" t="s">
        <v>3103</v>
      </c>
    </row>
    <row r="3061" ht="14.25" customHeight="1">
      <c r="G3061" s="3" t="s">
        <v>3104</v>
      </c>
    </row>
    <row r="3062" ht="14.25" customHeight="1">
      <c r="G3062" s="3" t="s">
        <v>3105</v>
      </c>
    </row>
    <row r="3063" ht="14.25" customHeight="1">
      <c r="G3063" s="3" t="s">
        <v>3106</v>
      </c>
    </row>
    <row r="3064" ht="14.25" customHeight="1">
      <c r="G3064" s="3" t="s">
        <v>3107</v>
      </c>
    </row>
    <row r="3065" ht="14.25" customHeight="1">
      <c r="G3065" s="3" t="s">
        <v>3108</v>
      </c>
    </row>
    <row r="3066" ht="14.25" customHeight="1">
      <c r="G3066" s="3" t="s">
        <v>3109</v>
      </c>
    </row>
    <row r="3067" ht="14.25" customHeight="1">
      <c r="G3067" s="3" t="s">
        <v>3110</v>
      </c>
    </row>
    <row r="3068" ht="14.25" customHeight="1">
      <c r="G3068" s="3" t="s">
        <v>3111</v>
      </c>
    </row>
    <row r="3069" ht="14.25" customHeight="1">
      <c r="G3069" s="3" t="s">
        <v>3112</v>
      </c>
    </row>
    <row r="3070" ht="14.25" customHeight="1">
      <c r="G3070" s="3" t="s">
        <v>3113</v>
      </c>
    </row>
    <row r="3071" ht="14.25" customHeight="1">
      <c r="G3071" s="3" t="s">
        <v>3114</v>
      </c>
    </row>
    <row r="3072" ht="14.25" customHeight="1">
      <c r="G3072" s="3" t="s">
        <v>3115</v>
      </c>
    </row>
    <row r="3073" ht="14.25" customHeight="1">
      <c r="G3073" s="3" t="s">
        <v>3116</v>
      </c>
    </row>
    <row r="3074" ht="14.25" customHeight="1">
      <c r="G3074" s="3" t="s">
        <v>3117</v>
      </c>
    </row>
    <row r="3075" ht="14.25" customHeight="1">
      <c r="G3075" s="3" t="s">
        <v>3118</v>
      </c>
    </row>
    <row r="3076" ht="14.25" customHeight="1">
      <c r="G3076" s="3" t="s">
        <v>3119</v>
      </c>
    </row>
    <row r="3077" ht="14.25" customHeight="1">
      <c r="G3077" s="3" t="s">
        <v>3120</v>
      </c>
    </row>
    <row r="3078" ht="14.25" customHeight="1">
      <c r="G3078" s="3" t="s">
        <v>3121</v>
      </c>
    </row>
    <row r="3079" ht="14.25" customHeight="1">
      <c r="G3079" s="3" t="s">
        <v>3122</v>
      </c>
    </row>
    <row r="3080" ht="14.25" customHeight="1">
      <c r="G3080" s="3" t="s">
        <v>3123</v>
      </c>
    </row>
    <row r="3081" ht="14.25" customHeight="1">
      <c r="G3081" s="3" t="s">
        <v>3124</v>
      </c>
    </row>
    <row r="3082" ht="14.25" customHeight="1">
      <c r="G3082" s="3" t="s">
        <v>3125</v>
      </c>
    </row>
    <row r="3083" ht="14.25" customHeight="1">
      <c r="G3083" s="3" t="s">
        <v>3126</v>
      </c>
    </row>
    <row r="3084" ht="14.25" customHeight="1">
      <c r="G3084" s="3" t="s">
        <v>3127</v>
      </c>
    </row>
    <row r="3085" ht="14.25" customHeight="1">
      <c r="G3085" s="3" t="s">
        <v>3128</v>
      </c>
    </row>
    <row r="3086" ht="14.25" customHeight="1">
      <c r="G3086" s="3" t="s">
        <v>3129</v>
      </c>
    </row>
    <row r="3087" ht="14.25" customHeight="1">
      <c r="G3087" s="3" t="s">
        <v>3130</v>
      </c>
    </row>
    <row r="3088" ht="14.25" customHeight="1">
      <c r="G3088" s="3" t="s">
        <v>3131</v>
      </c>
    </row>
    <row r="3089" ht="14.25" customHeight="1">
      <c r="G3089" s="3" t="s">
        <v>3132</v>
      </c>
    </row>
    <row r="3090" ht="14.25" customHeight="1">
      <c r="G3090" s="3" t="s">
        <v>3133</v>
      </c>
    </row>
    <row r="3091" ht="14.25" customHeight="1">
      <c r="G3091" s="3" t="s">
        <v>3134</v>
      </c>
    </row>
    <row r="3092" ht="14.25" customHeight="1">
      <c r="G3092" s="3" t="s">
        <v>3135</v>
      </c>
    </row>
    <row r="3093" ht="14.25" customHeight="1">
      <c r="G3093" s="3" t="s">
        <v>3136</v>
      </c>
    </row>
    <row r="3094" ht="14.25" customHeight="1">
      <c r="G3094" s="3" t="s">
        <v>3137</v>
      </c>
    </row>
    <row r="3095" ht="14.25" customHeight="1">
      <c r="G3095" s="3" t="s">
        <v>3138</v>
      </c>
    </row>
    <row r="3096" ht="14.25" customHeight="1">
      <c r="G3096" s="3" t="s">
        <v>3139</v>
      </c>
    </row>
    <row r="3097" ht="14.25" customHeight="1">
      <c r="G3097" s="3" t="s">
        <v>3140</v>
      </c>
    </row>
    <row r="3098" ht="14.25" customHeight="1">
      <c r="G3098" s="3" t="s">
        <v>3141</v>
      </c>
    </row>
    <row r="3099" ht="14.25" customHeight="1">
      <c r="G3099" s="3" t="s">
        <v>3142</v>
      </c>
    </row>
    <row r="3100" ht="14.25" customHeight="1">
      <c r="G3100" s="3" t="s">
        <v>3143</v>
      </c>
    </row>
    <row r="3101" ht="14.25" customHeight="1">
      <c r="G3101" s="3" t="s">
        <v>3144</v>
      </c>
    </row>
    <row r="3102" ht="14.25" customHeight="1">
      <c r="G3102" s="3" t="s">
        <v>3145</v>
      </c>
    </row>
    <row r="3103" ht="14.25" customHeight="1">
      <c r="G3103" s="3" t="s">
        <v>3146</v>
      </c>
    </row>
    <row r="3104" ht="14.25" customHeight="1">
      <c r="G3104" s="3" t="s">
        <v>3147</v>
      </c>
    </row>
    <row r="3105" ht="14.25" customHeight="1">
      <c r="G3105" s="3" t="s">
        <v>3148</v>
      </c>
    </row>
    <row r="3106" ht="14.25" customHeight="1">
      <c r="G3106" s="3" t="s">
        <v>3149</v>
      </c>
    </row>
    <row r="3107" ht="14.25" customHeight="1">
      <c r="G3107" s="3" t="s">
        <v>3150</v>
      </c>
    </row>
    <row r="3108" ht="14.25" customHeight="1">
      <c r="G3108" s="3" t="s">
        <v>3151</v>
      </c>
    </row>
    <row r="3109" ht="14.25" customHeight="1">
      <c r="G3109" s="3" t="s">
        <v>3152</v>
      </c>
    </row>
    <row r="3110" ht="14.25" customHeight="1">
      <c r="G3110" s="3" t="s">
        <v>3153</v>
      </c>
    </row>
    <row r="3111" ht="14.25" customHeight="1">
      <c r="G3111" s="3" t="s">
        <v>3154</v>
      </c>
    </row>
    <row r="3112" ht="14.25" customHeight="1">
      <c r="G3112" s="3" t="s">
        <v>3155</v>
      </c>
    </row>
    <row r="3113" ht="14.25" customHeight="1">
      <c r="G3113" s="3" t="s">
        <v>3156</v>
      </c>
    </row>
    <row r="3114" ht="14.25" customHeight="1">
      <c r="G3114" s="3" t="s">
        <v>3157</v>
      </c>
    </row>
    <row r="3115" ht="14.25" customHeight="1">
      <c r="G3115" s="3" t="s">
        <v>3158</v>
      </c>
    </row>
    <row r="3116" ht="14.25" customHeight="1">
      <c r="G3116" s="3" t="s">
        <v>3159</v>
      </c>
    </row>
    <row r="3117" ht="14.25" customHeight="1">
      <c r="G3117" s="3" t="s">
        <v>3160</v>
      </c>
    </row>
    <row r="3118" ht="14.25" customHeight="1">
      <c r="G3118" s="3" t="s">
        <v>3161</v>
      </c>
    </row>
    <row r="3119" ht="14.25" customHeight="1">
      <c r="G3119" s="3" t="s">
        <v>3162</v>
      </c>
    </row>
    <row r="3120" ht="14.25" customHeight="1">
      <c r="G3120" s="3" t="s">
        <v>3163</v>
      </c>
    </row>
    <row r="3121" ht="14.25" customHeight="1">
      <c r="G3121" s="3" t="s">
        <v>3164</v>
      </c>
    </row>
    <row r="3122" ht="14.25" customHeight="1">
      <c r="G3122" s="3" t="s">
        <v>3165</v>
      </c>
    </row>
    <row r="3123" ht="14.25" customHeight="1">
      <c r="G3123" s="3" t="s">
        <v>3166</v>
      </c>
    </row>
    <row r="3124" ht="14.25" customHeight="1">
      <c r="G3124" s="3" t="s">
        <v>3167</v>
      </c>
    </row>
    <row r="3125" ht="14.25" customHeight="1">
      <c r="G3125" s="3" t="s">
        <v>3168</v>
      </c>
    </row>
    <row r="3126" ht="14.25" customHeight="1">
      <c r="G3126" s="3" t="s">
        <v>3169</v>
      </c>
    </row>
    <row r="3127" ht="14.25" customHeight="1">
      <c r="G3127" s="3" t="s">
        <v>3170</v>
      </c>
    </row>
    <row r="3128" ht="14.25" customHeight="1">
      <c r="G3128" s="3" t="s">
        <v>3171</v>
      </c>
    </row>
    <row r="3129" ht="14.25" customHeight="1">
      <c r="G3129" s="3" t="s">
        <v>3172</v>
      </c>
    </row>
    <row r="3130" ht="14.25" customHeight="1">
      <c r="G3130" s="3" t="s">
        <v>3173</v>
      </c>
    </row>
    <row r="3131" ht="14.25" customHeight="1">
      <c r="G3131" s="3" t="s">
        <v>3174</v>
      </c>
    </row>
    <row r="3132" ht="14.25" customHeight="1">
      <c r="G3132" s="3" t="s">
        <v>3175</v>
      </c>
    </row>
    <row r="3133" ht="14.25" customHeight="1">
      <c r="G3133" s="3" t="s">
        <v>3176</v>
      </c>
    </row>
    <row r="3134" ht="14.25" customHeight="1">
      <c r="G3134" s="3" t="s">
        <v>3177</v>
      </c>
    </row>
    <row r="3135" ht="14.25" customHeight="1">
      <c r="G3135" s="3" t="s">
        <v>3178</v>
      </c>
    </row>
    <row r="3136" ht="14.25" customHeight="1">
      <c r="G3136" s="3" t="s">
        <v>3179</v>
      </c>
    </row>
    <row r="3137" ht="14.25" customHeight="1">
      <c r="G3137" s="3" t="s">
        <v>3180</v>
      </c>
    </row>
    <row r="3138" ht="14.25" customHeight="1">
      <c r="G3138" s="3" t="s">
        <v>3181</v>
      </c>
    </row>
    <row r="3139" ht="14.25" customHeight="1">
      <c r="G3139" s="3" t="s">
        <v>3182</v>
      </c>
    </row>
    <row r="3140" ht="14.25" customHeight="1">
      <c r="G3140" s="3" t="s">
        <v>3183</v>
      </c>
    </row>
    <row r="3141" ht="14.25" customHeight="1">
      <c r="G3141" s="3" t="s">
        <v>3184</v>
      </c>
    </row>
    <row r="3142" ht="14.25" customHeight="1">
      <c r="G3142" s="3" t="s">
        <v>3185</v>
      </c>
    </row>
    <row r="3143" ht="14.25" customHeight="1">
      <c r="G3143" s="3" t="s">
        <v>3186</v>
      </c>
    </row>
    <row r="3144" ht="14.25" customHeight="1">
      <c r="G3144" s="3" t="s">
        <v>3187</v>
      </c>
    </row>
    <row r="3145" ht="14.25" customHeight="1">
      <c r="G3145" s="3" t="s">
        <v>3188</v>
      </c>
    </row>
    <row r="3146" ht="14.25" customHeight="1">
      <c r="G3146" s="3" t="s">
        <v>3189</v>
      </c>
    </row>
    <row r="3147" ht="14.25" customHeight="1">
      <c r="G3147" s="3" t="s">
        <v>3190</v>
      </c>
    </row>
    <row r="3148" ht="14.25" customHeight="1">
      <c r="G3148" s="3" t="s">
        <v>3191</v>
      </c>
    </row>
    <row r="3149" ht="14.25" customHeight="1">
      <c r="G3149" s="3" t="s">
        <v>3192</v>
      </c>
    </row>
    <row r="3150" ht="14.25" customHeight="1">
      <c r="G3150" s="3" t="s">
        <v>3193</v>
      </c>
    </row>
    <row r="3151" ht="14.25" customHeight="1">
      <c r="G3151" s="3" t="s">
        <v>3194</v>
      </c>
    </row>
    <row r="3152" ht="14.25" customHeight="1">
      <c r="G3152" s="3" t="s">
        <v>3195</v>
      </c>
    </row>
    <row r="3153" ht="14.25" customHeight="1">
      <c r="G3153" s="3" t="s">
        <v>3196</v>
      </c>
    </row>
    <row r="3154" ht="14.25" customHeight="1">
      <c r="G3154" s="3" t="s">
        <v>3197</v>
      </c>
    </row>
    <row r="3155" ht="14.25" customHeight="1">
      <c r="G3155" s="3" t="s">
        <v>3198</v>
      </c>
    </row>
    <row r="3156" ht="14.25" customHeight="1">
      <c r="G3156" s="3" t="s">
        <v>3199</v>
      </c>
    </row>
    <row r="3157" ht="14.25" customHeight="1">
      <c r="G3157" s="3" t="s">
        <v>3200</v>
      </c>
    </row>
    <row r="3158" ht="14.25" customHeight="1">
      <c r="G3158" s="3" t="s">
        <v>3201</v>
      </c>
    </row>
    <row r="3159" ht="14.25" customHeight="1">
      <c r="G3159" s="3" t="s">
        <v>3202</v>
      </c>
    </row>
    <row r="3160" ht="14.25" customHeight="1">
      <c r="G3160" s="3" t="s">
        <v>3203</v>
      </c>
    </row>
    <row r="3161" ht="14.25" customHeight="1">
      <c r="G3161" s="3" t="s">
        <v>3204</v>
      </c>
    </row>
    <row r="3162" ht="14.25" customHeight="1">
      <c r="G3162" s="3" t="s">
        <v>3205</v>
      </c>
    </row>
    <row r="3163" ht="14.25" customHeight="1">
      <c r="G3163" s="3" t="s">
        <v>3206</v>
      </c>
    </row>
    <row r="3164" ht="14.25" customHeight="1">
      <c r="G3164" s="3" t="s">
        <v>3207</v>
      </c>
    </row>
    <row r="3165" ht="14.25" customHeight="1">
      <c r="G3165" s="3" t="s">
        <v>3208</v>
      </c>
    </row>
    <row r="3166" ht="14.25" customHeight="1">
      <c r="G3166" s="3" t="s">
        <v>3209</v>
      </c>
    </row>
    <row r="3167" ht="14.25" customHeight="1">
      <c r="G3167" s="3" t="s">
        <v>3210</v>
      </c>
    </row>
    <row r="3168" ht="14.25" customHeight="1">
      <c r="G3168" s="3" t="s">
        <v>3211</v>
      </c>
    </row>
    <row r="3169" ht="14.25" customHeight="1">
      <c r="G3169" s="3" t="s">
        <v>3212</v>
      </c>
    </row>
    <row r="3170" ht="14.25" customHeight="1">
      <c r="G3170" s="3" t="s">
        <v>3213</v>
      </c>
    </row>
    <row r="3171" ht="14.25" customHeight="1">
      <c r="G3171" s="3" t="s">
        <v>3214</v>
      </c>
    </row>
    <row r="3172" ht="14.25" customHeight="1">
      <c r="G3172" s="3" t="s">
        <v>3215</v>
      </c>
    </row>
    <row r="3173" ht="14.25" customHeight="1">
      <c r="G3173" s="3" t="s">
        <v>3216</v>
      </c>
    </row>
    <row r="3174" ht="14.25" customHeight="1">
      <c r="G3174" s="3" t="s">
        <v>3217</v>
      </c>
    </row>
    <row r="3175" ht="14.25" customHeight="1">
      <c r="G3175" s="3" t="s">
        <v>3218</v>
      </c>
    </row>
    <row r="3176" ht="14.25" customHeight="1">
      <c r="G3176" s="3" t="s">
        <v>3219</v>
      </c>
    </row>
    <row r="3177" ht="14.25" customHeight="1">
      <c r="G3177" s="3" t="s">
        <v>3220</v>
      </c>
    </row>
    <row r="3178" ht="14.25" customHeight="1">
      <c r="G3178" s="3" t="s">
        <v>3221</v>
      </c>
    </row>
    <row r="3179" ht="14.25" customHeight="1">
      <c r="G3179" s="3" t="s">
        <v>3222</v>
      </c>
    </row>
    <row r="3180" ht="14.25" customHeight="1">
      <c r="G3180" s="3" t="s">
        <v>3223</v>
      </c>
    </row>
    <row r="3181" ht="14.25" customHeight="1">
      <c r="G3181" s="3" t="s">
        <v>3224</v>
      </c>
    </row>
    <row r="3182" ht="14.25" customHeight="1">
      <c r="G3182" s="3" t="s">
        <v>3225</v>
      </c>
    </row>
    <row r="3183" ht="14.25" customHeight="1">
      <c r="G3183" s="3" t="s">
        <v>3226</v>
      </c>
    </row>
    <row r="3184" ht="14.25" customHeight="1">
      <c r="G3184" s="3" t="s">
        <v>3227</v>
      </c>
    </row>
    <row r="3185" ht="14.25" customHeight="1">
      <c r="G3185" s="3" t="s">
        <v>3228</v>
      </c>
    </row>
    <row r="3186" ht="14.25" customHeight="1">
      <c r="G3186" s="3" t="s">
        <v>3229</v>
      </c>
    </row>
    <row r="3187" ht="14.25" customHeight="1">
      <c r="G3187" s="3" t="s">
        <v>3230</v>
      </c>
    </row>
    <row r="3188" ht="14.25" customHeight="1">
      <c r="G3188" s="3" t="s">
        <v>3231</v>
      </c>
    </row>
    <row r="3189" ht="14.25" customHeight="1">
      <c r="G3189" s="3" t="s">
        <v>3232</v>
      </c>
    </row>
    <row r="3190" ht="14.25" customHeight="1">
      <c r="G3190" s="3" t="s">
        <v>3233</v>
      </c>
    </row>
    <row r="3191" ht="14.25" customHeight="1">
      <c r="G3191" s="3" t="s">
        <v>3234</v>
      </c>
    </row>
    <row r="3192" ht="14.25" customHeight="1">
      <c r="G3192" s="3" t="s">
        <v>3235</v>
      </c>
    </row>
    <row r="3193" ht="14.25" customHeight="1">
      <c r="G3193" s="3" t="s">
        <v>3236</v>
      </c>
    </row>
    <row r="3194" ht="14.25" customHeight="1">
      <c r="G3194" s="3" t="s">
        <v>3237</v>
      </c>
    </row>
    <row r="3195" ht="14.25" customHeight="1">
      <c r="G3195" s="3" t="s">
        <v>3238</v>
      </c>
    </row>
    <row r="3196" ht="14.25" customHeight="1">
      <c r="G3196" s="3" t="s">
        <v>3239</v>
      </c>
    </row>
    <row r="3197" ht="14.25" customHeight="1">
      <c r="G3197" s="3" t="s">
        <v>3240</v>
      </c>
    </row>
    <row r="3198" ht="14.25" customHeight="1">
      <c r="G3198" s="3" t="s">
        <v>3241</v>
      </c>
    </row>
    <row r="3199" ht="14.25" customHeight="1">
      <c r="G3199" s="3" t="s">
        <v>3242</v>
      </c>
    </row>
    <row r="3200" ht="14.25" customHeight="1">
      <c r="G3200" s="3" t="s">
        <v>3243</v>
      </c>
    </row>
    <row r="3201" ht="14.25" customHeight="1">
      <c r="G3201" s="3" t="s">
        <v>3244</v>
      </c>
    </row>
    <row r="3202" ht="14.25" customHeight="1">
      <c r="G3202" s="3" t="s">
        <v>3245</v>
      </c>
    </row>
    <row r="3203" ht="14.25" customHeight="1">
      <c r="G3203" s="3" t="s">
        <v>3246</v>
      </c>
    </row>
    <row r="3204" ht="14.25" customHeight="1">
      <c r="G3204" s="3" t="s">
        <v>3247</v>
      </c>
    </row>
    <row r="3205" ht="14.25" customHeight="1">
      <c r="G3205" s="3" t="s">
        <v>3248</v>
      </c>
    </row>
    <row r="3206" ht="14.25" customHeight="1">
      <c r="G3206" s="3" t="s">
        <v>3249</v>
      </c>
    </row>
    <row r="3207" ht="14.25" customHeight="1">
      <c r="G3207" s="3" t="s">
        <v>3250</v>
      </c>
    </row>
    <row r="3208" ht="14.25" customHeight="1">
      <c r="G3208" s="3" t="s">
        <v>3251</v>
      </c>
    </row>
    <row r="3209" ht="14.25" customHeight="1">
      <c r="G3209" s="3" t="s">
        <v>3252</v>
      </c>
    </row>
    <row r="3210" ht="14.25" customHeight="1">
      <c r="G3210" s="3" t="s">
        <v>3253</v>
      </c>
    </row>
    <row r="3211" ht="14.25" customHeight="1">
      <c r="G3211" s="3" t="s">
        <v>3254</v>
      </c>
    </row>
    <row r="3212" ht="14.25" customHeight="1">
      <c r="G3212" s="3" t="s">
        <v>3255</v>
      </c>
    </row>
    <row r="3213" ht="14.25" customHeight="1">
      <c r="G3213" s="3" t="s">
        <v>3256</v>
      </c>
    </row>
    <row r="3214" ht="14.25" customHeight="1">
      <c r="G3214" s="3" t="s">
        <v>3257</v>
      </c>
    </row>
    <row r="3215" ht="14.25" customHeight="1">
      <c r="G3215" s="3" t="s">
        <v>3258</v>
      </c>
    </row>
    <row r="3216" ht="14.25" customHeight="1">
      <c r="G3216" s="3" t="s">
        <v>3259</v>
      </c>
    </row>
    <row r="3217" ht="14.25" customHeight="1">
      <c r="G3217" s="3" t="s">
        <v>3260</v>
      </c>
    </row>
    <row r="3218" ht="14.25" customHeight="1">
      <c r="G3218" s="3" t="s">
        <v>3261</v>
      </c>
    </row>
    <row r="3219" ht="14.25" customHeight="1">
      <c r="G3219" s="3" t="s">
        <v>3262</v>
      </c>
    </row>
    <row r="3220" ht="14.25" customHeight="1">
      <c r="G3220" s="3" t="s">
        <v>3263</v>
      </c>
    </row>
    <row r="3221" ht="14.25" customHeight="1">
      <c r="G3221" s="3" t="s">
        <v>3264</v>
      </c>
    </row>
    <row r="3222" ht="14.25" customHeight="1">
      <c r="G3222" s="3" t="s">
        <v>3265</v>
      </c>
    </row>
    <row r="3223" ht="14.25" customHeight="1">
      <c r="G3223" s="3" t="s">
        <v>3266</v>
      </c>
    </row>
    <row r="3224" ht="14.25" customHeight="1">
      <c r="G3224" s="3" t="s">
        <v>3267</v>
      </c>
    </row>
    <row r="3225" ht="14.25" customHeight="1">
      <c r="G3225" s="3" t="s">
        <v>3268</v>
      </c>
    </row>
    <row r="3226" ht="14.25" customHeight="1">
      <c r="G3226" s="3" t="s">
        <v>3269</v>
      </c>
    </row>
    <row r="3227" ht="14.25" customHeight="1">
      <c r="G3227" s="3" t="s">
        <v>3270</v>
      </c>
    </row>
    <row r="3228" ht="14.25" customHeight="1">
      <c r="G3228" s="3" t="s">
        <v>3271</v>
      </c>
    </row>
    <row r="3229" ht="14.25" customHeight="1">
      <c r="G3229" s="3" t="s">
        <v>3272</v>
      </c>
    </row>
    <row r="3230" ht="14.25" customHeight="1">
      <c r="G3230" s="3" t="s">
        <v>3273</v>
      </c>
    </row>
    <row r="3231" ht="14.25" customHeight="1">
      <c r="G3231" s="3" t="s">
        <v>3274</v>
      </c>
    </row>
    <row r="3232" ht="14.25" customHeight="1">
      <c r="G3232" s="3" t="s">
        <v>3275</v>
      </c>
    </row>
    <row r="3233" ht="14.25" customHeight="1">
      <c r="G3233" s="3" t="s">
        <v>3276</v>
      </c>
    </row>
    <row r="3234" ht="14.25" customHeight="1">
      <c r="G3234" s="3" t="s">
        <v>3277</v>
      </c>
    </row>
    <row r="3235" ht="14.25" customHeight="1">
      <c r="G3235" s="3" t="s">
        <v>3278</v>
      </c>
    </row>
    <row r="3236" ht="14.25" customHeight="1">
      <c r="G3236" s="3" t="s">
        <v>3279</v>
      </c>
    </row>
    <row r="3237" ht="14.25" customHeight="1">
      <c r="G3237" s="3" t="s">
        <v>3280</v>
      </c>
    </row>
    <row r="3238" ht="14.25" customHeight="1">
      <c r="G3238" s="3" t="s">
        <v>3281</v>
      </c>
    </row>
    <row r="3239" ht="14.25" customHeight="1">
      <c r="G3239" s="3" t="s">
        <v>3282</v>
      </c>
    </row>
    <row r="3240" ht="14.25" customHeight="1">
      <c r="G3240" s="3" t="s">
        <v>3283</v>
      </c>
    </row>
    <row r="3241" ht="14.25" customHeight="1">
      <c r="G3241" s="3" t="s">
        <v>3284</v>
      </c>
    </row>
    <row r="3242" ht="14.25" customHeight="1">
      <c r="G3242" s="3" t="s">
        <v>3285</v>
      </c>
    </row>
    <row r="3243" ht="14.25" customHeight="1">
      <c r="G3243" s="3" t="s">
        <v>3286</v>
      </c>
    </row>
    <row r="3244" ht="14.25" customHeight="1">
      <c r="G3244" s="3" t="s">
        <v>3287</v>
      </c>
    </row>
    <row r="3245" ht="14.25" customHeight="1">
      <c r="G3245" s="3" t="s">
        <v>3288</v>
      </c>
    </row>
    <row r="3246" ht="14.25" customHeight="1">
      <c r="G3246" s="3" t="s">
        <v>3289</v>
      </c>
    </row>
    <row r="3247" ht="14.25" customHeight="1">
      <c r="G3247" s="3" t="s">
        <v>3290</v>
      </c>
    </row>
    <row r="3248" ht="14.25" customHeight="1">
      <c r="G3248" s="3" t="s">
        <v>3291</v>
      </c>
    </row>
    <row r="3249" ht="14.25" customHeight="1">
      <c r="G3249" s="3" t="s">
        <v>3292</v>
      </c>
    </row>
    <row r="3250" ht="14.25" customHeight="1">
      <c r="G3250" s="3" t="s">
        <v>3293</v>
      </c>
    </row>
    <row r="3251" ht="14.25" customHeight="1">
      <c r="G3251" s="3" t="s">
        <v>3294</v>
      </c>
    </row>
    <row r="3252" ht="14.25" customHeight="1">
      <c r="G3252" s="3" t="s">
        <v>3295</v>
      </c>
    </row>
    <row r="3253" ht="14.25" customHeight="1">
      <c r="G3253" s="3" t="s">
        <v>3296</v>
      </c>
    </row>
    <row r="3254" ht="14.25" customHeight="1">
      <c r="G3254" s="3" t="s">
        <v>3297</v>
      </c>
    </row>
    <row r="3255" ht="14.25" customHeight="1">
      <c r="G3255" s="3" t="s">
        <v>3298</v>
      </c>
    </row>
    <row r="3256" ht="14.25" customHeight="1">
      <c r="G3256" s="3" t="s">
        <v>3299</v>
      </c>
    </row>
    <row r="3257" ht="14.25" customHeight="1">
      <c r="G3257" s="3" t="s">
        <v>3300</v>
      </c>
    </row>
    <row r="3258" ht="14.25" customHeight="1">
      <c r="G3258" s="3" t="s">
        <v>3301</v>
      </c>
    </row>
    <row r="3259" ht="14.25" customHeight="1">
      <c r="G3259" s="3" t="s">
        <v>3302</v>
      </c>
    </row>
    <row r="3260" ht="14.25" customHeight="1">
      <c r="G3260" s="3" t="s">
        <v>3303</v>
      </c>
    </row>
    <row r="3261" ht="14.25" customHeight="1">
      <c r="G3261" s="3" t="s">
        <v>3304</v>
      </c>
    </row>
    <row r="3262" ht="14.25" customHeight="1">
      <c r="G3262" s="3" t="s">
        <v>3305</v>
      </c>
    </row>
    <row r="3263" ht="14.25" customHeight="1">
      <c r="G3263" s="3" t="s">
        <v>3306</v>
      </c>
    </row>
    <row r="3264" ht="14.25" customHeight="1">
      <c r="G3264" s="3" t="s">
        <v>3307</v>
      </c>
    </row>
    <row r="3265" ht="14.25" customHeight="1">
      <c r="G3265" s="3" t="s">
        <v>3308</v>
      </c>
    </row>
    <row r="3266" ht="14.25" customHeight="1">
      <c r="G3266" s="3" t="s">
        <v>3309</v>
      </c>
    </row>
    <row r="3267" ht="14.25" customHeight="1">
      <c r="G3267" s="3" t="s">
        <v>3310</v>
      </c>
    </row>
    <row r="3268" ht="14.25" customHeight="1">
      <c r="G3268" s="3" t="s">
        <v>3311</v>
      </c>
    </row>
    <row r="3269" ht="14.25" customHeight="1">
      <c r="G3269" s="3" t="s">
        <v>3312</v>
      </c>
    </row>
    <row r="3270" ht="14.25" customHeight="1">
      <c r="G3270" s="3" t="s">
        <v>3313</v>
      </c>
    </row>
    <row r="3271" ht="14.25" customHeight="1">
      <c r="G3271" s="3" t="s">
        <v>3314</v>
      </c>
    </row>
    <row r="3272" ht="14.25" customHeight="1">
      <c r="G3272" s="3" t="s">
        <v>3315</v>
      </c>
    </row>
    <row r="3273" ht="14.25" customHeight="1">
      <c r="G3273" s="3" t="s">
        <v>3316</v>
      </c>
    </row>
    <row r="3274" ht="14.25" customHeight="1">
      <c r="G3274" s="3" t="s">
        <v>3317</v>
      </c>
    </row>
    <row r="3275" ht="14.25" customHeight="1">
      <c r="G3275" s="3" t="s">
        <v>3318</v>
      </c>
    </row>
    <row r="3276" ht="14.25" customHeight="1">
      <c r="G3276" s="3" t="s">
        <v>3319</v>
      </c>
    </row>
    <row r="3277" ht="14.25" customHeight="1">
      <c r="G3277" s="3" t="s">
        <v>3320</v>
      </c>
    </row>
    <row r="3278" ht="14.25" customHeight="1">
      <c r="G3278" s="3" t="s">
        <v>3321</v>
      </c>
    </row>
    <row r="3279" ht="14.25" customHeight="1">
      <c r="G3279" s="3" t="s">
        <v>3322</v>
      </c>
    </row>
    <row r="3280" ht="14.25" customHeight="1">
      <c r="G3280" s="3" t="s">
        <v>3323</v>
      </c>
    </row>
    <row r="3281" ht="14.25" customHeight="1">
      <c r="G3281" s="3" t="s">
        <v>3324</v>
      </c>
    </row>
    <row r="3282" ht="14.25" customHeight="1">
      <c r="G3282" s="3" t="s">
        <v>3325</v>
      </c>
    </row>
    <row r="3283" ht="14.25" customHeight="1">
      <c r="G3283" s="3" t="s">
        <v>3326</v>
      </c>
    </row>
    <row r="3284" ht="14.25" customHeight="1">
      <c r="G3284" s="3" t="s">
        <v>3327</v>
      </c>
    </row>
    <row r="3285" ht="14.25" customHeight="1">
      <c r="G3285" s="3" t="s">
        <v>3328</v>
      </c>
    </row>
    <row r="3286" ht="14.25" customHeight="1">
      <c r="G3286" s="3" t="s">
        <v>3329</v>
      </c>
    </row>
    <row r="3287" ht="14.25" customHeight="1">
      <c r="G3287" s="3" t="s">
        <v>3330</v>
      </c>
    </row>
    <row r="3288" ht="14.25" customHeight="1">
      <c r="G3288" s="3" t="s">
        <v>3331</v>
      </c>
    </row>
    <row r="3289" ht="14.25" customHeight="1">
      <c r="G3289" s="3" t="s">
        <v>3332</v>
      </c>
    </row>
    <row r="3290" ht="14.25" customHeight="1">
      <c r="G3290" s="3" t="s">
        <v>3333</v>
      </c>
    </row>
    <row r="3291" ht="14.25" customHeight="1">
      <c r="G3291" s="3" t="s">
        <v>3334</v>
      </c>
    </row>
    <row r="3292" ht="14.25" customHeight="1">
      <c r="G3292" s="3" t="s">
        <v>3335</v>
      </c>
    </row>
    <row r="3293" ht="14.25" customHeight="1">
      <c r="G3293" s="3" t="s">
        <v>3336</v>
      </c>
    </row>
    <row r="3294" ht="14.25" customHeight="1">
      <c r="G3294" s="3" t="s">
        <v>3337</v>
      </c>
    </row>
    <row r="3295" ht="14.25" customHeight="1">
      <c r="G3295" s="3" t="s">
        <v>3338</v>
      </c>
    </row>
    <row r="3296" ht="14.25" customHeight="1">
      <c r="G3296" s="3" t="s">
        <v>3339</v>
      </c>
    </row>
    <row r="3297" ht="14.25" customHeight="1">
      <c r="G3297" s="3" t="s">
        <v>3340</v>
      </c>
    </row>
    <row r="3298" ht="14.25" customHeight="1">
      <c r="G3298" s="3" t="s">
        <v>3341</v>
      </c>
    </row>
    <row r="3299" ht="14.25" customHeight="1">
      <c r="G3299" s="3" t="s">
        <v>3342</v>
      </c>
    </row>
    <row r="3300" ht="14.25" customHeight="1">
      <c r="G3300" s="3" t="s">
        <v>3343</v>
      </c>
    </row>
    <row r="3301" ht="14.25" customHeight="1">
      <c r="G3301" s="3" t="s">
        <v>3344</v>
      </c>
    </row>
    <row r="3302" ht="14.25" customHeight="1">
      <c r="G3302" s="3" t="s">
        <v>3345</v>
      </c>
    </row>
    <row r="3303" ht="14.25" customHeight="1">
      <c r="G3303" s="3" t="s">
        <v>3346</v>
      </c>
    </row>
    <row r="3304" ht="14.25" customHeight="1">
      <c r="G3304" s="3" t="s">
        <v>3347</v>
      </c>
    </row>
    <row r="3305" ht="14.25" customHeight="1">
      <c r="G3305" s="3" t="s">
        <v>3348</v>
      </c>
    </row>
    <row r="3306" ht="14.25" customHeight="1">
      <c r="G3306" s="3" t="s">
        <v>3349</v>
      </c>
    </row>
    <row r="3307" ht="14.25" customHeight="1">
      <c r="G3307" s="3" t="s">
        <v>3350</v>
      </c>
    </row>
    <row r="3308" ht="14.25" customHeight="1">
      <c r="G3308" s="3" t="s">
        <v>3351</v>
      </c>
    </row>
    <row r="3309" ht="14.25" customHeight="1">
      <c r="G3309" s="3" t="s">
        <v>3352</v>
      </c>
    </row>
    <row r="3310" ht="14.25" customHeight="1">
      <c r="G3310" s="3" t="s">
        <v>3353</v>
      </c>
    </row>
    <row r="3311" ht="14.25" customHeight="1">
      <c r="G3311" s="3" t="s">
        <v>3354</v>
      </c>
    </row>
    <row r="3312" ht="14.25" customHeight="1">
      <c r="G3312" s="3" t="s">
        <v>3355</v>
      </c>
    </row>
    <row r="3313" ht="14.25" customHeight="1">
      <c r="G3313" s="3" t="s">
        <v>3356</v>
      </c>
    </row>
    <row r="3314" ht="14.25" customHeight="1">
      <c r="G3314" s="3" t="s">
        <v>3357</v>
      </c>
    </row>
    <row r="3315" ht="14.25" customHeight="1">
      <c r="G3315" s="3" t="s">
        <v>3358</v>
      </c>
    </row>
    <row r="3316" ht="14.25" customHeight="1">
      <c r="G3316" s="3" t="s">
        <v>3359</v>
      </c>
    </row>
    <row r="3317" ht="14.25" customHeight="1">
      <c r="G3317" s="3" t="s">
        <v>3360</v>
      </c>
    </row>
    <row r="3318" ht="14.25" customHeight="1">
      <c r="G3318" s="3" t="s">
        <v>3361</v>
      </c>
    </row>
    <row r="3319" ht="14.25" customHeight="1">
      <c r="G3319" s="3" t="s">
        <v>3362</v>
      </c>
    </row>
    <row r="3320" ht="14.25" customHeight="1">
      <c r="G3320" s="3" t="s">
        <v>3363</v>
      </c>
    </row>
    <row r="3321" ht="14.25" customHeight="1">
      <c r="G3321" s="3" t="s">
        <v>3364</v>
      </c>
    </row>
    <row r="3322" ht="14.25" customHeight="1">
      <c r="G3322" s="3" t="s">
        <v>3365</v>
      </c>
    </row>
    <row r="3323" ht="14.25" customHeight="1">
      <c r="G3323" s="3" t="s">
        <v>3366</v>
      </c>
    </row>
    <row r="3324" ht="14.25" customHeight="1">
      <c r="G3324" s="3" t="s">
        <v>3367</v>
      </c>
    </row>
    <row r="3325" ht="14.25" customHeight="1">
      <c r="G3325" s="3" t="s">
        <v>3368</v>
      </c>
    </row>
    <row r="3326" ht="14.25" customHeight="1">
      <c r="G3326" s="3" t="s">
        <v>3369</v>
      </c>
    </row>
    <row r="3327" ht="14.25" customHeight="1">
      <c r="G3327" s="3" t="s">
        <v>3370</v>
      </c>
    </row>
    <row r="3328" ht="14.25" customHeight="1">
      <c r="G3328" s="3" t="s">
        <v>3371</v>
      </c>
    </row>
    <row r="3329" ht="14.25" customHeight="1">
      <c r="G3329" s="3" t="s">
        <v>3372</v>
      </c>
    </row>
    <row r="3330" ht="14.25" customHeight="1">
      <c r="G3330" s="3" t="s">
        <v>3373</v>
      </c>
    </row>
    <row r="3331" ht="14.25" customHeight="1">
      <c r="G3331" s="3" t="s">
        <v>3374</v>
      </c>
    </row>
    <row r="3332" ht="14.25" customHeight="1">
      <c r="G3332" s="3" t="s">
        <v>3375</v>
      </c>
    </row>
    <row r="3333" ht="14.25" customHeight="1">
      <c r="G3333" s="3" t="s">
        <v>3376</v>
      </c>
    </row>
    <row r="3334" ht="14.25" customHeight="1">
      <c r="G3334" s="3" t="s">
        <v>3377</v>
      </c>
    </row>
    <row r="3335" ht="14.25" customHeight="1">
      <c r="G3335" s="3" t="s">
        <v>3378</v>
      </c>
    </row>
    <row r="3336" ht="14.25" customHeight="1">
      <c r="G3336" s="3" t="s">
        <v>3379</v>
      </c>
    </row>
    <row r="3337" ht="14.25" customHeight="1">
      <c r="G3337" s="3" t="s">
        <v>3380</v>
      </c>
    </row>
    <row r="3338" ht="14.25" customHeight="1">
      <c r="G3338" s="3" t="s">
        <v>3381</v>
      </c>
    </row>
    <row r="3339" ht="14.25" customHeight="1">
      <c r="G3339" s="3" t="s">
        <v>3382</v>
      </c>
    </row>
    <row r="3340" ht="14.25" customHeight="1">
      <c r="G3340" s="3" t="s">
        <v>3383</v>
      </c>
    </row>
    <row r="3341" ht="14.25" customHeight="1">
      <c r="G3341" s="3" t="s">
        <v>3384</v>
      </c>
    </row>
    <row r="3342" ht="14.25" customHeight="1">
      <c r="G3342" s="3" t="s">
        <v>3385</v>
      </c>
    </row>
    <row r="3343" ht="14.25" customHeight="1">
      <c r="G3343" s="3" t="s">
        <v>3386</v>
      </c>
    </row>
    <row r="3344" ht="14.25" customHeight="1">
      <c r="G3344" s="3" t="s">
        <v>3387</v>
      </c>
    </row>
    <row r="3345" ht="14.25" customHeight="1">
      <c r="G3345" s="3" t="s">
        <v>3388</v>
      </c>
    </row>
    <row r="3346" ht="14.25" customHeight="1">
      <c r="G3346" s="3" t="s">
        <v>3389</v>
      </c>
    </row>
    <row r="3347" ht="14.25" customHeight="1">
      <c r="G3347" s="3" t="s">
        <v>3390</v>
      </c>
    </row>
    <row r="3348" ht="14.25" customHeight="1">
      <c r="G3348" s="3" t="s">
        <v>3391</v>
      </c>
    </row>
    <row r="3349" ht="14.25" customHeight="1">
      <c r="G3349" s="3" t="s">
        <v>3392</v>
      </c>
    </row>
    <row r="3350" ht="14.25" customHeight="1">
      <c r="G3350" s="3" t="s">
        <v>3393</v>
      </c>
    </row>
    <row r="3351" ht="14.25" customHeight="1">
      <c r="G3351" s="3" t="s">
        <v>3394</v>
      </c>
    </row>
    <row r="3352" ht="14.25" customHeight="1">
      <c r="G3352" s="3" t="s">
        <v>3395</v>
      </c>
    </row>
    <row r="3353" ht="14.25" customHeight="1">
      <c r="G3353" s="3" t="s">
        <v>3396</v>
      </c>
    </row>
    <row r="3354" ht="14.25" customHeight="1">
      <c r="G3354" s="3" t="s">
        <v>3397</v>
      </c>
    </row>
    <row r="3355" ht="14.25" customHeight="1">
      <c r="G3355" s="3" t="s">
        <v>3398</v>
      </c>
    </row>
    <row r="3356" ht="14.25" customHeight="1">
      <c r="G3356" s="3" t="s">
        <v>3399</v>
      </c>
    </row>
    <row r="3357" ht="14.25" customHeight="1">
      <c r="G3357" s="3" t="s">
        <v>3400</v>
      </c>
    </row>
    <row r="3358" ht="14.25" customHeight="1">
      <c r="G3358" s="3" t="s">
        <v>3401</v>
      </c>
    </row>
    <row r="3359" ht="14.25" customHeight="1">
      <c r="G3359" s="3" t="s">
        <v>3402</v>
      </c>
    </row>
    <row r="3360" ht="14.25" customHeight="1">
      <c r="G3360" s="3" t="s">
        <v>3403</v>
      </c>
    </row>
    <row r="3361" ht="14.25" customHeight="1">
      <c r="G3361" s="3" t="s">
        <v>3404</v>
      </c>
    </row>
    <row r="3362" ht="14.25" customHeight="1">
      <c r="G3362" s="3" t="s">
        <v>3405</v>
      </c>
    </row>
    <row r="3363" ht="14.25" customHeight="1">
      <c r="G3363" s="3" t="s">
        <v>3406</v>
      </c>
    </row>
    <row r="3364" ht="14.25" customHeight="1">
      <c r="G3364" s="3" t="s">
        <v>3407</v>
      </c>
    </row>
    <row r="3365" ht="14.25" customHeight="1">
      <c r="G3365" s="3" t="s">
        <v>3408</v>
      </c>
    </row>
    <row r="3366" ht="14.25" customHeight="1">
      <c r="G3366" s="3" t="s">
        <v>3409</v>
      </c>
    </row>
    <row r="3367" ht="14.25" customHeight="1">
      <c r="G3367" s="3" t="s">
        <v>3410</v>
      </c>
    </row>
    <row r="3368" ht="14.25" customHeight="1">
      <c r="G3368" s="3" t="s">
        <v>3411</v>
      </c>
    </row>
    <row r="3369" ht="14.25" customHeight="1">
      <c r="G3369" s="3" t="s">
        <v>3412</v>
      </c>
    </row>
    <row r="3370" ht="14.25" customHeight="1">
      <c r="G3370" s="3" t="s">
        <v>3413</v>
      </c>
    </row>
    <row r="3371" ht="14.25" customHeight="1">
      <c r="G3371" s="3" t="s">
        <v>3414</v>
      </c>
    </row>
    <row r="3372" ht="14.25" customHeight="1">
      <c r="G3372" s="3" t="s">
        <v>3415</v>
      </c>
    </row>
    <row r="3373" ht="14.25" customHeight="1">
      <c r="G3373" s="3" t="s">
        <v>3416</v>
      </c>
    </row>
    <row r="3374" ht="14.25" customHeight="1">
      <c r="G3374" s="3" t="s">
        <v>3417</v>
      </c>
    </row>
    <row r="3375" ht="14.25" customHeight="1">
      <c r="G3375" s="3" t="s">
        <v>3418</v>
      </c>
    </row>
    <row r="3376" ht="14.25" customHeight="1">
      <c r="G3376" s="3" t="s">
        <v>3419</v>
      </c>
    </row>
    <row r="3377" ht="14.25" customHeight="1">
      <c r="G3377" s="3" t="s">
        <v>3420</v>
      </c>
    </row>
    <row r="3378" ht="14.25" customHeight="1">
      <c r="G3378" s="3" t="s">
        <v>3421</v>
      </c>
    </row>
    <row r="3379" ht="14.25" customHeight="1">
      <c r="G3379" s="3" t="s">
        <v>3422</v>
      </c>
    </row>
    <row r="3380" ht="14.25" customHeight="1">
      <c r="G3380" s="3" t="s">
        <v>3423</v>
      </c>
    </row>
    <row r="3381" ht="14.25" customHeight="1">
      <c r="G3381" s="3" t="s">
        <v>3424</v>
      </c>
    </row>
    <row r="3382" ht="14.25" customHeight="1">
      <c r="G3382" s="3" t="s">
        <v>3425</v>
      </c>
    </row>
    <row r="3383" ht="14.25" customHeight="1">
      <c r="G3383" s="3" t="s">
        <v>3426</v>
      </c>
    </row>
    <row r="3384" ht="14.25" customHeight="1">
      <c r="G3384" s="3" t="s">
        <v>3427</v>
      </c>
    </row>
    <row r="3385" ht="14.25" customHeight="1">
      <c r="G3385" s="3" t="s">
        <v>3428</v>
      </c>
    </row>
    <row r="3386" ht="14.25" customHeight="1">
      <c r="G3386" s="3" t="s">
        <v>3429</v>
      </c>
    </row>
    <row r="3387" ht="14.25" customHeight="1">
      <c r="G3387" s="3" t="s">
        <v>3430</v>
      </c>
    </row>
    <row r="3388" ht="14.25" customHeight="1">
      <c r="G3388" s="3" t="s">
        <v>3431</v>
      </c>
    </row>
    <row r="3389" ht="14.25" customHeight="1">
      <c r="G3389" s="3" t="s">
        <v>3432</v>
      </c>
    </row>
    <row r="3390" ht="14.25" customHeight="1">
      <c r="G3390" s="3" t="s">
        <v>3433</v>
      </c>
    </row>
    <row r="3391" ht="14.25" customHeight="1">
      <c r="G3391" s="3" t="s">
        <v>3434</v>
      </c>
    </row>
    <row r="3392" ht="14.25" customHeight="1">
      <c r="G3392" s="3" t="s">
        <v>3435</v>
      </c>
    </row>
    <row r="3393" ht="14.25" customHeight="1">
      <c r="G3393" s="3" t="s">
        <v>3436</v>
      </c>
    </row>
    <row r="3394" ht="14.25" customHeight="1">
      <c r="G3394" s="3" t="s">
        <v>3437</v>
      </c>
    </row>
    <row r="3395" ht="14.25" customHeight="1">
      <c r="G3395" s="3" t="s">
        <v>3438</v>
      </c>
    </row>
    <row r="3396" ht="14.25" customHeight="1">
      <c r="G3396" s="3" t="s">
        <v>3439</v>
      </c>
    </row>
    <row r="3397" ht="14.25" customHeight="1">
      <c r="G3397" s="3" t="s">
        <v>3440</v>
      </c>
    </row>
    <row r="3398" ht="14.25" customHeight="1">
      <c r="G3398" s="3" t="s">
        <v>3441</v>
      </c>
    </row>
    <row r="3399" ht="14.25" customHeight="1">
      <c r="G3399" s="3" t="s">
        <v>3442</v>
      </c>
    </row>
    <row r="3400" ht="14.25" customHeight="1">
      <c r="G3400" s="3" t="s">
        <v>3443</v>
      </c>
    </row>
    <row r="3401" ht="14.25" customHeight="1">
      <c r="G3401" s="3" t="s">
        <v>3444</v>
      </c>
    </row>
    <row r="3402" ht="14.25" customHeight="1">
      <c r="G3402" s="3" t="s">
        <v>3445</v>
      </c>
    </row>
    <row r="3403" ht="14.25" customHeight="1">
      <c r="G3403" s="3" t="s">
        <v>3446</v>
      </c>
    </row>
    <row r="3404" ht="14.25" customHeight="1">
      <c r="G3404" s="3" t="s">
        <v>3447</v>
      </c>
    </row>
    <row r="3405" ht="14.25" customHeight="1">
      <c r="G3405" s="3" t="s">
        <v>3448</v>
      </c>
    </row>
    <row r="3406" ht="14.25" customHeight="1">
      <c r="G3406" s="3" t="s">
        <v>3449</v>
      </c>
    </row>
    <row r="3407" ht="14.25" customHeight="1">
      <c r="G3407" s="3" t="s">
        <v>3450</v>
      </c>
    </row>
    <row r="3408" ht="14.25" customHeight="1">
      <c r="G3408" s="3" t="s">
        <v>3451</v>
      </c>
    </row>
    <row r="3409" ht="14.25" customHeight="1">
      <c r="G3409" s="3" t="s">
        <v>3452</v>
      </c>
    </row>
    <row r="3410" ht="14.25" customHeight="1">
      <c r="G3410" s="3" t="s">
        <v>3453</v>
      </c>
    </row>
    <row r="3411" ht="14.25" customHeight="1">
      <c r="G3411" s="3" t="s">
        <v>3454</v>
      </c>
    </row>
    <row r="3412" ht="14.25" customHeight="1">
      <c r="G3412" s="3" t="s">
        <v>3455</v>
      </c>
    </row>
    <row r="3413" ht="14.25" customHeight="1">
      <c r="G3413" s="3" t="s">
        <v>3456</v>
      </c>
    </row>
    <row r="3414" ht="14.25" customHeight="1">
      <c r="G3414" s="3" t="s">
        <v>3457</v>
      </c>
    </row>
    <row r="3415" ht="14.25" customHeight="1">
      <c r="G3415" s="3" t="s">
        <v>3458</v>
      </c>
    </row>
    <row r="3416" ht="14.25" customHeight="1">
      <c r="G3416" s="3" t="s">
        <v>3459</v>
      </c>
    </row>
    <row r="3417" ht="14.25" customHeight="1">
      <c r="G3417" s="3" t="s">
        <v>3460</v>
      </c>
    </row>
    <row r="3418" ht="14.25" customHeight="1">
      <c r="G3418" s="3" t="s">
        <v>3461</v>
      </c>
    </row>
    <row r="3419" ht="14.25" customHeight="1">
      <c r="G3419" s="3" t="s">
        <v>3462</v>
      </c>
    </row>
    <row r="3420" ht="14.25" customHeight="1">
      <c r="G3420" s="3" t="s">
        <v>3463</v>
      </c>
    </row>
    <row r="3421" ht="14.25" customHeight="1">
      <c r="G3421" s="3" t="s">
        <v>3464</v>
      </c>
    </row>
    <row r="3422" ht="14.25" customHeight="1">
      <c r="G3422" s="3" t="s">
        <v>3465</v>
      </c>
    </row>
    <row r="3423" ht="14.25" customHeight="1">
      <c r="G3423" s="3" t="s">
        <v>3466</v>
      </c>
    </row>
    <row r="3424" ht="14.25" customHeight="1">
      <c r="G3424" s="3" t="s">
        <v>3467</v>
      </c>
    </row>
    <row r="3425" ht="14.25" customHeight="1">
      <c r="G3425" s="3" t="s">
        <v>3468</v>
      </c>
    </row>
    <row r="3426" ht="14.25" customHeight="1">
      <c r="G3426" s="3" t="s">
        <v>3469</v>
      </c>
    </row>
    <row r="3427" ht="14.25" customHeight="1">
      <c r="G3427" s="3" t="s">
        <v>3470</v>
      </c>
    </row>
    <row r="3428" ht="14.25" customHeight="1">
      <c r="G3428" s="3" t="s">
        <v>3471</v>
      </c>
    </row>
    <row r="3429" ht="14.25" customHeight="1">
      <c r="G3429" s="3" t="s">
        <v>3472</v>
      </c>
    </row>
    <row r="3430" ht="14.25" customHeight="1">
      <c r="G3430" s="3" t="s">
        <v>3473</v>
      </c>
    </row>
    <row r="3431" ht="14.25" customHeight="1">
      <c r="G3431" s="3" t="s">
        <v>3474</v>
      </c>
    </row>
    <row r="3432" ht="14.25" customHeight="1">
      <c r="G3432" s="3" t="s">
        <v>3475</v>
      </c>
    </row>
    <row r="3433" ht="14.25" customHeight="1">
      <c r="G3433" s="3" t="s">
        <v>3476</v>
      </c>
    </row>
    <row r="3434" ht="14.25" customHeight="1">
      <c r="G3434" s="3" t="s">
        <v>3477</v>
      </c>
    </row>
    <row r="3435" ht="14.25" customHeight="1">
      <c r="G3435" s="3" t="s">
        <v>3478</v>
      </c>
    </row>
    <row r="3436" ht="14.25" customHeight="1">
      <c r="G3436" s="3" t="s">
        <v>3479</v>
      </c>
    </row>
    <row r="3437" ht="14.25" customHeight="1">
      <c r="G3437" s="3" t="s">
        <v>3480</v>
      </c>
    </row>
    <row r="3438" ht="14.25" customHeight="1">
      <c r="G3438" s="3" t="s">
        <v>3481</v>
      </c>
    </row>
    <row r="3439" ht="14.25" customHeight="1">
      <c r="G3439" s="3" t="s">
        <v>3482</v>
      </c>
    </row>
    <row r="3440" ht="14.25" customHeight="1">
      <c r="G3440" s="3" t="s">
        <v>3483</v>
      </c>
    </row>
    <row r="3441" ht="14.25" customHeight="1">
      <c r="G3441" s="3" t="s">
        <v>3484</v>
      </c>
    </row>
    <row r="3442" ht="14.25" customHeight="1">
      <c r="G3442" s="3" t="s">
        <v>3485</v>
      </c>
    </row>
    <row r="3443" ht="14.25" customHeight="1">
      <c r="G3443" s="3" t="s">
        <v>3486</v>
      </c>
    </row>
    <row r="3444" ht="14.25" customHeight="1">
      <c r="G3444" s="3" t="s">
        <v>3487</v>
      </c>
    </row>
    <row r="3445" ht="14.25" customHeight="1">
      <c r="A3445" s="1" t="s">
        <v>3488</v>
      </c>
      <c r="G3445" s="3" t="s">
        <v>3489</v>
      </c>
    </row>
    <row r="3446" ht="14.25" customHeight="1">
      <c r="A3446" s="1" t="s">
        <v>3490</v>
      </c>
      <c r="G3446" s="3" t="s">
        <v>3491</v>
      </c>
    </row>
    <row r="3447" ht="14.25" customHeight="1">
      <c r="A3447" s="1" t="s">
        <v>3492</v>
      </c>
      <c r="G3447" s="3" t="s">
        <v>3493</v>
      </c>
    </row>
    <row r="3448" ht="14.25" customHeight="1">
      <c r="A3448" s="1" t="s">
        <v>3494</v>
      </c>
      <c r="G3448" s="3" t="s">
        <v>3495</v>
      </c>
    </row>
    <row r="3449" ht="14.25" customHeight="1">
      <c r="A3449" s="1" t="s">
        <v>3496</v>
      </c>
      <c r="G3449" s="3" t="s">
        <v>3497</v>
      </c>
    </row>
    <row r="3450" ht="14.25" customHeight="1">
      <c r="G3450" s="3" t="s">
        <v>3498</v>
      </c>
    </row>
    <row r="3451" ht="14.25" customHeight="1">
      <c r="G3451" s="3" t="s">
        <v>3499</v>
      </c>
    </row>
    <row r="3452" ht="14.25" customHeight="1">
      <c r="G3452" s="3" t="s">
        <v>3500</v>
      </c>
    </row>
    <row r="3453" ht="14.25" customHeight="1">
      <c r="G3453" s="3" t="s">
        <v>3501</v>
      </c>
    </row>
    <row r="3454" ht="14.25" customHeight="1">
      <c r="G3454" s="3" t="s">
        <v>3502</v>
      </c>
    </row>
    <row r="3455" ht="14.25" customHeight="1">
      <c r="G3455" s="3" t="s">
        <v>3503</v>
      </c>
    </row>
    <row r="3456" ht="14.25" customHeight="1">
      <c r="G3456" s="3" t="s">
        <v>3504</v>
      </c>
    </row>
    <row r="3457" ht="14.25" customHeight="1">
      <c r="G3457" s="3" t="s">
        <v>3505</v>
      </c>
    </row>
    <row r="3458" ht="14.25" customHeight="1">
      <c r="G3458" s="3" t="s">
        <v>3506</v>
      </c>
    </row>
    <row r="3459" ht="14.25" customHeight="1">
      <c r="G3459" s="3" t="s">
        <v>3507</v>
      </c>
    </row>
    <row r="3460" ht="14.25" customHeight="1">
      <c r="G3460" s="3" t="s">
        <v>3508</v>
      </c>
    </row>
    <row r="3461" ht="14.25" customHeight="1">
      <c r="G3461" s="3" t="s">
        <v>3509</v>
      </c>
    </row>
    <row r="3462" ht="14.25" customHeight="1">
      <c r="G3462" s="3" t="s">
        <v>3510</v>
      </c>
    </row>
    <row r="3463" ht="14.25" customHeight="1">
      <c r="G3463" s="3" t="s">
        <v>3511</v>
      </c>
    </row>
    <row r="3464" ht="14.25" customHeight="1">
      <c r="G3464" s="3" t="s">
        <v>3512</v>
      </c>
    </row>
    <row r="3465" ht="14.25" customHeight="1">
      <c r="G3465" s="3" t="s">
        <v>3513</v>
      </c>
    </row>
    <row r="3466" ht="14.25" customHeight="1">
      <c r="G3466" s="3" t="s">
        <v>3514</v>
      </c>
    </row>
    <row r="3467" ht="14.25" customHeight="1">
      <c r="G3467" s="3" t="s">
        <v>3515</v>
      </c>
    </row>
    <row r="3468" ht="14.25" customHeight="1">
      <c r="G3468" s="3" t="s">
        <v>3516</v>
      </c>
    </row>
    <row r="3469" ht="14.25" customHeight="1">
      <c r="G3469" s="3" t="s">
        <v>3517</v>
      </c>
    </row>
    <row r="3470" ht="14.25" customHeight="1">
      <c r="G3470" s="3" t="s">
        <v>3518</v>
      </c>
    </row>
    <row r="3471" ht="14.25" customHeight="1">
      <c r="G3471" s="3" t="s">
        <v>3519</v>
      </c>
    </row>
    <row r="3472" ht="14.25" customHeight="1">
      <c r="G3472" s="3" t="s">
        <v>3520</v>
      </c>
    </row>
    <row r="3473" ht="14.25" customHeight="1">
      <c r="G3473" s="3" t="s">
        <v>3521</v>
      </c>
    </row>
    <row r="3474" ht="14.25" customHeight="1">
      <c r="G3474" s="3" t="s">
        <v>3522</v>
      </c>
    </row>
    <row r="3475" ht="14.25" customHeight="1">
      <c r="G3475" s="3" t="s">
        <v>3523</v>
      </c>
    </row>
    <row r="3476" ht="14.25" customHeight="1">
      <c r="G3476" s="3" t="s">
        <v>3524</v>
      </c>
    </row>
    <row r="3477" ht="14.25" customHeight="1">
      <c r="G3477" s="3" t="s">
        <v>3525</v>
      </c>
    </row>
    <row r="3478" ht="14.25" customHeight="1">
      <c r="G3478" s="3" t="s">
        <v>3526</v>
      </c>
    </row>
    <row r="3479" ht="14.25" customHeight="1">
      <c r="G3479" s="3" t="s">
        <v>3527</v>
      </c>
    </row>
    <row r="3480" ht="14.25" customHeight="1">
      <c r="G3480" s="3" t="s">
        <v>3528</v>
      </c>
    </row>
    <row r="3481" ht="14.25" customHeight="1">
      <c r="G3481" s="3" t="s">
        <v>3529</v>
      </c>
    </row>
    <row r="3482" ht="14.25" customHeight="1">
      <c r="G3482" s="3" t="s">
        <v>3530</v>
      </c>
    </row>
    <row r="3483" ht="14.25" customHeight="1">
      <c r="G3483" s="3" t="s">
        <v>3531</v>
      </c>
    </row>
    <row r="3484" ht="14.25" customHeight="1">
      <c r="G3484" s="3" t="s">
        <v>3532</v>
      </c>
    </row>
    <row r="3485" ht="14.25" customHeight="1">
      <c r="G3485" s="3" t="s">
        <v>3533</v>
      </c>
    </row>
    <row r="3486" ht="14.25" customHeight="1">
      <c r="G3486" s="3" t="s">
        <v>3534</v>
      </c>
    </row>
    <row r="3487" ht="14.25" customHeight="1">
      <c r="G3487" s="3" t="s">
        <v>3535</v>
      </c>
    </row>
    <row r="3488" ht="14.25" customHeight="1">
      <c r="G3488" s="3" t="s">
        <v>3536</v>
      </c>
    </row>
    <row r="3489" ht="14.25" customHeight="1">
      <c r="G3489" s="3" t="s">
        <v>3537</v>
      </c>
    </row>
    <row r="3490" ht="14.25" customHeight="1">
      <c r="G3490" s="3" t="s">
        <v>3538</v>
      </c>
    </row>
    <row r="3491" ht="14.25" customHeight="1">
      <c r="G3491" s="3" t="s">
        <v>3539</v>
      </c>
    </row>
    <row r="3492" ht="14.25" customHeight="1">
      <c r="G3492" s="3" t="s">
        <v>3540</v>
      </c>
    </row>
    <row r="3493" ht="14.25" customHeight="1">
      <c r="G3493" s="3" t="s">
        <v>3541</v>
      </c>
    </row>
    <row r="3494" ht="14.25" customHeight="1">
      <c r="G3494" s="3" t="s">
        <v>3542</v>
      </c>
    </row>
    <row r="3495" ht="14.25" customHeight="1">
      <c r="G3495" s="3" t="s">
        <v>3543</v>
      </c>
    </row>
    <row r="3496" ht="14.25" customHeight="1">
      <c r="G3496" s="3" t="s">
        <v>3544</v>
      </c>
    </row>
    <row r="3497" ht="14.25" customHeight="1">
      <c r="G3497" s="3" t="s">
        <v>3545</v>
      </c>
    </row>
    <row r="3498" ht="14.25" customHeight="1">
      <c r="G3498" s="3" t="s">
        <v>3546</v>
      </c>
    </row>
    <row r="3499" ht="14.25" customHeight="1">
      <c r="G3499" s="3" t="s">
        <v>3547</v>
      </c>
    </row>
    <row r="3500" ht="14.25" customHeight="1">
      <c r="G3500" s="3" t="s">
        <v>3548</v>
      </c>
    </row>
    <row r="3501" ht="14.25" customHeight="1">
      <c r="G3501" s="3" t="s">
        <v>3549</v>
      </c>
    </row>
    <row r="3502" ht="14.25" customHeight="1">
      <c r="G3502" s="3" t="s">
        <v>3550</v>
      </c>
    </row>
    <row r="3503" ht="14.25" customHeight="1">
      <c r="G3503" s="3" t="s">
        <v>3551</v>
      </c>
    </row>
    <row r="3504" ht="14.25" customHeight="1">
      <c r="G3504" s="3" t="s">
        <v>3552</v>
      </c>
    </row>
    <row r="3505" ht="14.25" customHeight="1">
      <c r="G3505" s="3" t="s">
        <v>3553</v>
      </c>
    </row>
    <row r="3506" ht="14.25" customHeight="1">
      <c r="G3506" s="3" t="s">
        <v>3554</v>
      </c>
    </row>
    <row r="3507" ht="14.25" customHeight="1">
      <c r="G3507" s="3" t="s">
        <v>3555</v>
      </c>
    </row>
    <row r="3508" ht="14.25" customHeight="1">
      <c r="G3508" s="3" t="s">
        <v>3556</v>
      </c>
    </row>
    <row r="3509" ht="14.25" customHeight="1">
      <c r="G3509" s="3" t="s">
        <v>3557</v>
      </c>
    </row>
    <row r="3510" ht="14.25" customHeight="1">
      <c r="G3510" s="3" t="s">
        <v>3558</v>
      </c>
    </row>
    <row r="3511" ht="14.25" customHeight="1">
      <c r="G3511" s="3" t="s">
        <v>3559</v>
      </c>
    </row>
    <row r="3512" ht="14.25" customHeight="1">
      <c r="G3512" s="3" t="s">
        <v>3560</v>
      </c>
    </row>
    <row r="3513" ht="14.25" customHeight="1">
      <c r="G3513" s="3" t="s">
        <v>3561</v>
      </c>
    </row>
    <row r="3514" ht="14.25" customHeight="1">
      <c r="G3514" s="3" t="s">
        <v>3562</v>
      </c>
    </row>
    <row r="3515" ht="14.25" customHeight="1">
      <c r="G3515" s="3" t="s">
        <v>3563</v>
      </c>
    </row>
    <row r="3516" ht="14.25" customHeight="1">
      <c r="G3516" s="3" t="s">
        <v>3564</v>
      </c>
    </row>
    <row r="3517" ht="14.25" customHeight="1">
      <c r="G3517" s="3" t="s">
        <v>3565</v>
      </c>
    </row>
    <row r="3518" ht="14.25" customHeight="1">
      <c r="G3518" s="3" t="s">
        <v>3566</v>
      </c>
    </row>
    <row r="3519" ht="14.25" customHeight="1">
      <c r="G3519" s="3" t="s">
        <v>3567</v>
      </c>
    </row>
    <row r="3520" ht="14.25" customHeight="1">
      <c r="G3520" s="3" t="s">
        <v>3568</v>
      </c>
    </row>
    <row r="3521" ht="14.25" customHeight="1">
      <c r="G3521" s="3" t="s">
        <v>3569</v>
      </c>
    </row>
    <row r="3522" ht="14.25" customHeight="1">
      <c r="G3522" s="3" t="s">
        <v>3570</v>
      </c>
    </row>
    <row r="3523" ht="14.25" customHeight="1">
      <c r="G3523" s="3" t="s">
        <v>3571</v>
      </c>
    </row>
    <row r="3524" ht="14.25" customHeight="1">
      <c r="G3524" s="3" t="s">
        <v>3572</v>
      </c>
    </row>
    <row r="3525" ht="14.25" customHeight="1">
      <c r="G3525" s="3" t="s">
        <v>3573</v>
      </c>
    </row>
    <row r="3526" ht="14.25" customHeight="1">
      <c r="G3526" s="3" t="s">
        <v>3574</v>
      </c>
    </row>
    <row r="3527" ht="14.25" customHeight="1">
      <c r="G3527" s="3" t="s">
        <v>3575</v>
      </c>
    </row>
    <row r="3528" ht="14.25" customHeight="1">
      <c r="G3528" s="3" t="s">
        <v>3576</v>
      </c>
    </row>
    <row r="3529" ht="14.25" customHeight="1">
      <c r="G3529" s="3" t="s">
        <v>3577</v>
      </c>
    </row>
    <row r="3530" ht="14.25" customHeight="1">
      <c r="G3530" s="3" t="s">
        <v>3578</v>
      </c>
    </row>
    <row r="3531" ht="14.25" customHeight="1">
      <c r="G3531" s="3" t="s">
        <v>3579</v>
      </c>
    </row>
    <row r="3532" ht="14.25" customHeight="1">
      <c r="G3532" s="3" t="s">
        <v>3580</v>
      </c>
    </row>
    <row r="3533" ht="14.25" customHeight="1">
      <c r="G3533" s="3" t="s">
        <v>3581</v>
      </c>
    </row>
    <row r="3534" ht="14.25" customHeight="1">
      <c r="G3534" s="3" t="s">
        <v>3582</v>
      </c>
    </row>
    <row r="3535" ht="14.25" customHeight="1">
      <c r="G3535" s="3" t="s">
        <v>3583</v>
      </c>
    </row>
    <row r="3536" ht="14.25" customHeight="1">
      <c r="G3536" s="3" t="s">
        <v>3584</v>
      </c>
    </row>
    <row r="3537" ht="14.25" customHeight="1">
      <c r="G3537" s="3" t="s">
        <v>3585</v>
      </c>
    </row>
    <row r="3538" ht="14.25" customHeight="1">
      <c r="G3538" s="3" t="s">
        <v>3586</v>
      </c>
    </row>
    <row r="3539" ht="14.25" customHeight="1">
      <c r="G3539" s="3" t="s">
        <v>3587</v>
      </c>
    </row>
    <row r="3540" ht="14.25" customHeight="1">
      <c r="G3540" s="3" t="s">
        <v>3588</v>
      </c>
    </row>
    <row r="3541" ht="14.25" customHeight="1">
      <c r="G3541" s="3" t="s">
        <v>3589</v>
      </c>
    </row>
    <row r="3542" ht="14.25" customHeight="1">
      <c r="G3542" s="3" t="s">
        <v>3590</v>
      </c>
    </row>
    <row r="3543" ht="14.25" customHeight="1">
      <c r="G3543" s="3" t="s">
        <v>3591</v>
      </c>
    </row>
    <row r="3544" ht="14.25" customHeight="1">
      <c r="G3544" s="3" t="s">
        <v>3592</v>
      </c>
    </row>
    <row r="3545" ht="14.25" customHeight="1">
      <c r="G3545" s="3" t="s">
        <v>3593</v>
      </c>
    </row>
    <row r="3546" ht="14.25" customHeight="1">
      <c r="G3546" s="3" t="s">
        <v>3594</v>
      </c>
    </row>
    <row r="3547" ht="14.25" customHeight="1">
      <c r="G3547" s="3" t="s">
        <v>3595</v>
      </c>
    </row>
    <row r="3548" ht="14.25" customHeight="1">
      <c r="G3548" s="3" t="s">
        <v>3596</v>
      </c>
    </row>
    <row r="3549" ht="14.25" customHeight="1">
      <c r="G3549" s="3" t="s">
        <v>3597</v>
      </c>
    </row>
    <row r="3550" ht="14.25" customHeight="1">
      <c r="G3550" s="3" t="s">
        <v>3598</v>
      </c>
    </row>
    <row r="3551" ht="14.25" customHeight="1">
      <c r="G3551" s="3" t="s">
        <v>3599</v>
      </c>
    </row>
    <row r="3552" ht="14.25" customHeight="1">
      <c r="G3552" s="3" t="s">
        <v>3600</v>
      </c>
    </row>
    <row r="3553" ht="14.25" customHeight="1">
      <c r="G3553" s="3" t="s">
        <v>3601</v>
      </c>
    </row>
    <row r="3554" ht="14.25" customHeight="1">
      <c r="G3554" s="3" t="s">
        <v>3602</v>
      </c>
    </row>
    <row r="3555" ht="14.25" customHeight="1">
      <c r="G3555" s="3" t="s">
        <v>3603</v>
      </c>
    </row>
    <row r="3556" ht="14.25" customHeight="1">
      <c r="G3556" s="3" t="s">
        <v>3604</v>
      </c>
    </row>
    <row r="3557" ht="14.25" customHeight="1">
      <c r="G3557" s="3" t="s">
        <v>3605</v>
      </c>
    </row>
    <row r="3558" ht="14.25" customHeight="1">
      <c r="G3558" s="3" t="s">
        <v>3606</v>
      </c>
    </row>
    <row r="3559" ht="14.25" customHeight="1">
      <c r="G3559" s="3" t="s">
        <v>3607</v>
      </c>
    </row>
    <row r="3560" ht="14.25" customHeight="1">
      <c r="G3560" s="3" t="s">
        <v>3608</v>
      </c>
    </row>
    <row r="3561" ht="14.25" customHeight="1">
      <c r="G3561" s="3" t="s">
        <v>3609</v>
      </c>
    </row>
    <row r="3562" ht="14.25" customHeight="1">
      <c r="G3562" s="3" t="s">
        <v>3610</v>
      </c>
    </row>
    <row r="3563" ht="14.25" customHeight="1">
      <c r="G3563" s="3" t="s">
        <v>3611</v>
      </c>
    </row>
    <row r="3564" ht="14.25" customHeight="1">
      <c r="G3564" s="3" t="s">
        <v>3612</v>
      </c>
    </row>
    <row r="3565" ht="14.25" customHeight="1">
      <c r="G3565" s="3" t="s">
        <v>3613</v>
      </c>
    </row>
    <row r="3566" ht="14.25" customHeight="1">
      <c r="G3566" s="3" t="s">
        <v>3614</v>
      </c>
    </row>
    <row r="3567" ht="14.25" customHeight="1">
      <c r="G3567" s="3" t="s">
        <v>3615</v>
      </c>
    </row>
    <row r="3568" ht="14.25" customHeight="1">
      <c r="G3568" s="3" t="s">
        <v>3616</v>
      </c>
    </row>
    <row r="3569" ht="14.25" customHeight="1">
      <c r="G3569" s="3" t="s">
        <v>3617</v>
      </c>
    </row>
    <row r="3570" ht="14.25" customHeight="1">
      <c r="G3570" s="3" t="s">
        <v>3618</v>
      </c>
    </row>
    <row r="3571" ht="14.25" customHeight="1">
      <c r="G3571" s="3" t="s">
        <v>3619</v>
      </c>
    </row>
    <row r="3572" ht="14.25" customHeight="1">
      <c r="G3572" s="3" t="s">
        <v>3620</v>
      </c>
    </row>
    <row r="3573" ht="14.25" customHeight="1">
      <c r="G3573" s="3" t="s">
        <v>3621</v>
      </c>
    </row>
    <row r="3574" ht="14.25" customHeight="1">
      <c r="G3574" s="3" t="s">
        <v>3622</v>
      </c>
    </row>
    <row r="3575" ht="14.25" customHeight="1">
      <c r="G3575" s="3" t="s">
        <v>3623</v>
      </c>
    </row>
    <row r="3576" ht="14.25" customHeight="1">
      <c r="G3576" s="3" t="s">
        <v>3624</v>
      </c>
    </row>
    <row r="3577" ht="14.25" customHeight="1">
      <c r="G3577" s="3" t="s">
        <v>3625</v>
      </c>
    </row>
    <row r="3578" ht="14.25" customHeight="1">
      <c r="G3578" s="3" t="s">
        <v>3626</v>
      </c>
    </row>
    <row r="3579" ht="14.25" customHeight="1">
      <c r="G3579" s="3" t="s">
        <v>3627</v>
      </c>
    </row>
    <row r="3580" ht="14.25" customHeight="1">
      <c r="G3580" s="3" t="s">
        <v>3628</v>
      </c>
    </row>
    <row r="3581" ht="14.25" customHeight="1">
      <c r="G3581" s="3" t="s">
        <v>3629</v>
      </c>
    </row>
    <row r="3582" ht="14.25" customHeight="1">
      <c r="G3582" s="3" t="s">
        <v>3630</v>
      </c>
    </row>
    <row r="3583" ht="14.25" customHeight="1">
      <c r="G3583" s="3" t="s">
        <v>3631</v>
      </c>
    </row>
    <row r="3584" ht="14.25" customHeight="1">
      <c r="G3584" s="3" t="s">
        <v>3632</v>
      </c>
    </row>
    <row r="3585" ht="14.25" customHeight="1">
      <c r="G3585" s="3" t="s">
        <v>3633</v>
      </c>
    </row>
    <row r="3586" ht="14.25" customHeight="1">
      <c r="G3586" s="3" t="s">
        <v>3634</v>
      </c>
    </row>
    <row r="3587" ht="14.25" customHeight="1">
      <c r="G3587" s="3" t="s">
        <v>3635</v>
      </c>
    </row>
    <row r="3588" ht="14.25" customHeight="1">
      <c r="G3588" s="3" t="s">
        <v>3636</v>
      </c>
    </row>
    <row r="3589" ht="14.25" customHeight="1">
      <c r="G3589" s="3" t="s">
        <v>3637</v>
      </c>
    </row>
    <row r="3590" ht="14.25" customHeight="1">
      <c r="G3590" s="3" t="s">
        <v>3638</v>
      </c>
    </row>
    <row r="3591" ht="14.25" customHeight="1">
      <c r="G3591" s="3" t="s">
        <v>3639</v>
      </c>
    </row>
    <row r="3592" ht="14.25" customHeight="1">
      <c r="G3592" s="3" t="s">
        <v>3640</v>
      </c>
    </row>
    <row r="3593" ht="14.25" customHeight="1">
      <c r="G3593" s="3" t="s">
        <v>3641</v>
      </c>
    </row>
    <row r="3594" ht="14.25" customHeight="1">
      <c r="G3594" s="3" t="s">
        <v>3642</v>
      </c>
    </row>
    <row r="3595" ht="14.25" customHeight="1">
      <c r="G3595" s="3" t="s">
        <v>3643</v>
      </c>
    </row>
    <row r="3596" ht="14.25" customHeight="1">
      <c r="G3596" s="3" t="s">
        <v>3644</v>
      </c>
    </row>
    <row r="3597" ht="14.25" customHeight="1">
      <c r="G3597" s="3" t="s">
        <v>3645</v>
      </c>
    </row>
    <row r="3598" ht="14.25" customHeight="1">
      <c r="G3598" s="3" t="s">
        <v>3646</v>
      </c>
    </row>
    <row r="3599" ht="14.25" customHeight="1">
      <c r="G3599" s="3" t="s">
        <v>3647</v>
      </c>
    </row>
    <row r="3600" ht="14.25" customHeight="1">
      <c r="G3600" s="3" t="s">
        <v>3648</v>
      </c>
    </row>
    <row r="3601" ht="14.25" customHeight="1">
      <c r="G3601" s="3" t="s">
        <v>3649</v>
      </c>
    </row>
    <row r="3602" ht="14.25" customHeight="1">
      <c r="G3602" s="3" t="s">
        <v>3650</v>
      </c>
    </row>
    <row r="3603" ht="14.25" customHeight="1">
      <c r="G3603" s="3" t="s">
        <v>3651</v>
      </c>
    </row>
    <row r="3604" ht="14.25" customHeight="1">
      <c r="G3604" s="3" t="s">
        <v>3652</v>
      </c>
    </row>
    <row r="3605" ht="14.25" customHeight="1">
      <c r="G3605" s="3" t="s">
        <v>3653</v>
      </c>
    </row>
    <row r="3606" ht="14.25" customHeight="1">
      <c r="G3606" s="3" t="s">
        <v>3654</v>
      </c>
    </row>
    <row r="3607" ht="14.25" customHeight="1">
      <c r="G3607" s="3" t="s">
        <v>3655</v>
      </c>
    </row>
    <row r="3608" ht="14.25" customHeight="1">
      <c r="G3608" s="3" t="s">
        <v>3656</v>
      </c>
    </row>
    <row r="3609" ht="14.25" customHeight="1">
      <c r="G3609" s="3" t="s">
        <v>3657</v>
      </c>
    </row>
    <row r="3610" ht="14.25" customHeight="1">
      <c r="G3610" s="3" t="s">
        <v>3658</v>
      </c>
    </row>
    <row r="3611" ht="14.25" customHeight="1">
      <c r="G3611" s="3" t="s">
        <v>3659</v>
      </c>
    </row>
    <row r="3612" ht="14.25" customHeight="1">
      <c r="G3612" s="3" t="s">
        <v>3660</v>
      </c>
    </row>
    <row r="3613" ht="14.25" customHeight="1">
      <c r="G3613" s="3" t="s">
        <v>3661</v>
      </c>
    </row>
    <row r="3614" ht="14.25" customHeight="1">
      <c r="G3614" s="3" t="s">
        <v>3662</v>
      </c>
    </row>
    <row r="3615" ht="14.25" customHeight="1">
      <c r="G3615" s="3" t="s">
        <v>3663</v>
      </c>
    </row>
    <row r="3616" ht="14.25" customHeight="1">
      <c r="G3616" s="3" t="s">
        <v>3664</v>
      </c>
    </row>
    <row r="3617" ht="14.25" customHeight="1">
      <c r="G3617" s="3" t="s">
        <v>3665</v>
      </c>
    </row>
    <row r="3618" ht="14.25" customHeight="1">
      <c r="G3618" s="3" t="s">
        <v>3666</v>
      </c>
    </row>
    <row r="3619" ht="14.25" customHeight="1">
      <c r="G3619" s="3" t="s">
        <v>3667</v>
      </c>
    </row>
    <row r="3620" ht="14.25" customHeight="1">
      <c r="G3620" s="3" t="s">
        <v>3668</v>
      </c>
    </row>
    <row r="3621" ht="14.25" customHeight="1">
      <c r="G3621" s="3" t="s">
        <v>3669</v>
      </c>
    </row>
    <row r="3622" ht="14.25" customHeight="1">
      <c r="G3622" s="3" t="s">
        <v>3670</v>
      </c>
    </row>
    <row r="3623" ht="14.25" customHeight="1">
      <c r="G3623" s="3" t="s">
        <v>3671</v>
      </c>
    </row>
    <row r="3624" ht="14.25" customHeight="1">
      <c r="G3624" s="3" t="s">
        <v>3672</v>
      </c>
    </row>
    <row r="3625" ht="14.25" customHeight="1">
      <c r="G3625" s="3" t="s">
        <v>3673</v>
      </c>
    </row>
    <row r="3626" ht="14.25" customHeight="1">
      <c r="G3626" s="3" t="s">
        <v>3674</v>
      </c>
    </row>
    <row r="3627" ht="14.25" customHeight="1">
      <c r="G3627" s="3" t="s">
        <v>3675</v>
      </c>
    </row>
    <row r="3628" ht="14.25" customHeight="1">
      <c r="G3628" s="3" t="s">
        <v>3676</v>
      </c>
    </row>
    <row r="3629" ht="14.25" customHeight="1">
      <c r="G3629" s="3" t="s">
        <v>3677</v>
      </c>
    </row>
    <row r="3630" ht="14.25" customHeight="1">
      <c r="G3630" s="3" t="s">
        <v>3678</v>
      </c>
    </row>
    <row r="3631" ht="14.25" customHeight="1">
      <c r="G3631" s="3" t="s">
        <v>3679</v>
      </c>
    </row>
    <row r="3632" ht="14.25" customHeight="1">
      <c r="G3632" s="3" t="s">
        <v>3680</v>
      </c>
    </row>
    <row r="3633" ht="14.25" customHeight="1">
      <c r="G3633" s="3" t="s">
        <v>3681</v>
      </c>
    </row>
    <row r="3634" ht="14.25" customHeight="1">
      <c r="G3634" s="3" t="s">
        <v>3682</v>
      </c>
    </row>
    <row r="3635" ht="14.25" customHeight="1">
      <c r="G3635" s="3" t="s">
        <v>3683</v>
      </c>
    </row>
    <row r="3636" ht="14.25" customHeight="1">
      <c r="G3636" s="3" t="s">
        <v>3684</v>
      </c>
    </row>
    <row r="3637" ht="14.25" customHeight="1">
      <c r="G3637" s="3" t="s">
        <v>3685</v>
      </c>
    </row>
    <row r="3638" ht="14.25" customHeight="1">
      <c r="G3638" s="3" t="s">
        <v>3686</v>
      </c>
    </row>
    <row r="3639" ht="14.25" customHeight="1">
      <c r="G3639" s="3" t="s">
        <v>3687</v>
      </c>
    </row>
    <row r="3640" ht="14.25" customHeight="1">
      <c r="G3640" s="3" t="s">
        <v>3688</v>
      </c>
    </row>
    <row r="3641" ht="14.25" customHeight="1">
      <c r="G3641" s="3" t="s">
        <v>3689</v>
      </c>
    </row>
    <row r="3642" ht="14.25" customHeight="1">
      <c r="G3642" s="3" t="s">
        <v>3690</v>
      </c>
    </row>
    <row r="3643" ht="14.25" customHeight="1">
      <c r="G3643" s="3" t="s">
        <v>3691</v>
      </c>
    </row>
    <row r="3644" ht="14.25" customHeight="1">
      <c r="G3644" s="3" t="s">
        <v>3692</v>
      </c>
    </row>
    <row r="3645" ht="14.25" customHeight="1">
      <c r="G3645" s="3" t="s">
        <v>3693</v>
      </c>
    </row>
    <row r="3646" ht="14.25" customHeight="1">
      <c r="G3646" s="3" t="s">
        <v>3694</v>
      </c>
    </row>
    <row r="3647" ht="14.25" customHeight="1">
      <c r="G3647" s="3" t="s">
        <v>3695</v>
      </c>
    </row>
    <row r="3648" ht="14.25" customHeight="1">
      <c r="G3648" s="3" t="s">
        <v>3696</v>
      </c>
    </row>
    <row r="3649" ht="14.25" customHeight="1">
      <c r="G3649" s="3" t="s">
        <v>3697</v>
      </c>
    </row>
    <row r="3650" ht="14.25" customHeight="1">
      <c r="G3650" s="3" t="s">
        <v>3698</v>
      </c>
    </row>
    <row r="3651" ht="14.25" customHeight="1">
      <c r="G3651" s="3" t="s">
        <v>3699</v>
      </c>
    </row>
    <row r="3652" ht="14.25" customHeight="1">
      <c r="G3652" s="3" t="s">
        <v>3700</v>
      </c>
    </row>
    <row r="3653" ht="14.25" customHeight="1">
      <c r="G3653" s="3" t="s">
        <v>3701</v>
      </c>
    </row>
    <row r="3654" ht="14.25" customHeight="1">
      <c r="G3654" s="3" t="s">
        <v>3702</v>
      </c>
    </row>
    <row r="3655" ht="14.25" customHeight="1">
      <c r="G3655" s="3" t="s">
        <v>3703</v>
      </c>
    </row>
    <row r="3656" ht="14.25" customHeight="1">
      <c r="G3656" s="3" t="s">
        <v>3704</v>
      </c>
    </row>
    <row r="3657" ht="14.25" customHeight="1">
      <c r="G3657" s="3" t="s">
        <v>3705</v>
      </c>
    </row>
    <row r="3658" ht="14.25" customHeight="1">
      <c r="G3658" s="3" t="s">
        <v>3706</v>
      </c>
    </row>
    <row r="3659" ht="14.25" customHeight="1">
      <c r="G3659" s="3" t="s">
        <v>3707</v>
      </c>
    </row>
    <row r="3660" ht="14.25" customHeight="1">
      <c r="G3660" s="3" t="s">
        <v>3708</v>
      </c>
    </row>
    <row r="3661" ht="14.25" customHeight="1">
      <c r="G3661" s="3" t="s">
        <v>3709</v>
      </c>
    </row>
    <row r="3662" ht="14.25" customHeight="1">
      <c r="G3662" s="3" t="s">
        <v>3710</v>
      </c>
    </row>
    <row r="3663" ht="14.25" customHeight="1">
      <c r="G3663" s="3" t="s">
        <v>3711</v>
      </c>
    </row>
    <row r="3664" ht="14.25" customHeight="1">
      <c r="G3664" s="3" t="s">
        <v>3712</v>
      </c>
    </row>
    <row r="3665" ht="14.25" customHeight="1">
      <c r="G3665" s="3" t="s">
        <v>3713</v>
      </c>
    </row>
    <row r="3666" ht="14.25" customHeight="1">
      <c r="G3666" s="3" t="s">
        <v>3714</v>
      </c>
    </row>
    <row r="3667" ht="14.25" customHeight="1">
      <c r="G3667" s="3" t="s">
        <v>3715</v>
      </c>
    </row>
    <row r="3668" ht="14.25" customHeight="1">
      <c r="G3668" s="3" t="s">
        <v>3716</v>
      </c>
    </row>
    <row r="3669" ht="14.25" customHeight="1">
      <c r="G3669" s="3" t="s">
        <v>3717</v>
      </c>
    </row>
    <row r="3670" ht="14.25" customHeight="1">
      <c r="G3670" s="3" t="s">
        <v>3718</v>
      </c>
    </row>
    <row r="3671" ht="14.25" customHeight="1">
      <c r="G3671" s="3" t="s">
        <v>3719</v>
      </c>
    </row>
    <row r="3672" ht="14.25" customHeight="1">
      <c r="G3672" s="3" t="s">
        <v>3720</v>
      </c>
    </row>
    <row r="3673" ht="14.25" customHeight="1">
      <c r="G3673" s="3" t="s">
        <v>3721</v>
      </c>
    </row>
    <row r="3674" ht="14.25" customHeight="1">
      <c r="G3674" s="3" t="s">
        <v>3722</v>
      </c>
    </row>
    <row r="3675" ht="14.25" customHeight="1">
      <c r="G3675" s="3" t="s">
        <v>3723</v>
      </c>
    </row>
    <row r="3676" ht="14.25" customHeight="1">
      <c r="G3676" s="3" t="s">
        <v>3724</v>
      </c>
    </row>
    <row r="3677" ht="14.25" customHeight="1">
      <c r="G3677" s="3" t="s">
        <v>3725</v>
      </c>
    </row>
    <row r="3678" ht="14.25" customHeight="1">
      <c r="G3678" s="3" t="s">
        <v>3726</v>
      </c>
    </row>
    <row r="3679" ht="14.25" customHeight="1">
      <c r="G3679" s="3" t="s">
        <v>3727</v>
      </c>
    </row>
    <row r="3680" ht="14.25" customHeight="1">
      <c r="G3680" s="3" t="s">
        <v>3728</v>
      </c>
    </row>
    <row r="3681" ht="14.25" customHeight="1">
      <c r="G3681" s="3" t="s">
        <v>3729</v>
      </c>
    </row>
    <row r="3682" ht="14.25" customHeight="1">
      <c r="G3682" s="3" t="s">
        <v>3730</v>
      </c>
    </row>
    <row r="3683" ht="14.25" customHeight="1">
      <c r="G3683" s="3" t="s">
        <v>3731</v>
      </c>
    </row>
    <row r="3684" ht="14.25" customHeight="1">
      <c r="G3684" s="3" t="s">
        <v>3732</v>
      </c>
    </row>
    <row r="3685" ht="14.25" customHeight="1">
      <c r="G3685" s="3" t="s">
        <v>3733</v>
      </c>
    </row>
    <row r="3686" ht="14.25" customHeight="1">
      <c r="G3686" s="3" t="s">
        <v>3734</v>
      </c>
    </row>
    <row r="3687" ht="14.25" customHeight="1">
      <c r="G3687" s="3" t="s">
        <v>3735</v>
      </c>
    </row>
    <row r="3688" ht="14.25" customHeight="1">
      <c r="G3688" s="3" t="s">
        <v>3736</v>
      </c>
    </row>
    <row r="3689" ht="14.25" customHeight="1">
      <c r="G3689" s="3" t="s">
        <v>3737</v>
      </c>
    </row>
    <row r="3690" ht="14.25" customHeight="1">
      <c r="G3690" s="3" t="s">
        <v>3738</v>
      </c>
    </row>
    <row r="3691" ht="14.25" customHeight="1">
      <c r="G3691" s="3" t="s">
        <v>3739</v>
      </c>
    </row>
    <row r="3692" ht="14.25" customHeight="1">
      <c r="G3692" s="3" t="s">
        <v>3740</v>
      </c>
    </row>
    <row r="3693" ht="14.25" customHeight="1">
      <c r="G3693" s="3" t="s">
        <v>3741</v>
      </c>
    </row>
    <row r="3694" ht="14.25" customHeight="1">
      <c r="G3694" s="3" t="s">
        <v>3742</v>
      </c>
    </row>
    <row r="3695" ht="14.25" customHeight="1">
      <c r="G3695" s="3" t="s">
        <v>3743</v>
      </c>
    </row>
    <row r="3696" ht="14.25" customHeight="1">
      <c r="G3696" s="3" t="s">
        <v>3744</v>
      </c>
    </row>
    <row r="3697" ht="14.25" customHeight="1">
      <c r="G3697" s="3" t="s">
        <v>3745</v>
      </c>
    </row>
    <row r="3698" ht="14.25" customHeight="1">
      <c r="G3698" s="3" t="s">
        <v>3746</v>
      </c>
    </row>
    <row r="3699" ht="14.25" customHeight="1">
      <c r="G3699" s="3" t="s">
        <v>3747</v>
      </c>
    </row>
    <row r="3700" ht="14.25" customHeight="1">
      <c r="G3700" s="3" t="s">
        <v>3748</v>
      </c>
    </row>
    <row r="3701" ht="14.25" customHeight="1">
      <c r="G3701" s="3" t="s">
        <v>3749</v>
      </c>
    </row>
    <row r="3702" ht="14.25" customHeight="1">
      <c r="G3702" s="3" t="s">
        <v>3750</v>
      </c>
    </row>
    <row r="3703" ht="14.25" customHeight="1">
      <c r="G3703" s="3" t="s">
        <v>3751</v>
      </c>
    </row>
    <row r="3704" ht="14.25" customHeight="1">
      <c r="G3704" s="3" t="s">
        <v>3752</v>
      </c>
    </row>
    <row r="3705" ht="14.25" customHeight="1">
      <c r="G3705" s="3" t="s">
        <v>3753</v>
      </c>
    </row>
    <row r="3706" ht="14.25" customHeight="1">
      <c r="G3706" s="3" t="s">
        <v>3754</v>
      </c>
    </row>
    <row r="3707" ht="14.25" customHeight="1">
      <c r="G3707" s="3" t="s">
        <v>3755</v>
      </c>
    </row>
    <row r="3708" ht="14.25" customHeight="1">
      <c r="G3708" s="3" t="s">
        <v>3756</v>
      </c>
    </row>
    <row r="3709" ht="14.25" customHeight="1">
      <c r="G3709" s="3" t="s">
        <v>3757</v>
      </c>
    </row>
    <row r="3710" ht="14.25" customHeight="1">
      <c r="G3710" s="3" t="s">
        <v>3758</v>
      </c>
    </row>
    <row r="3711" ht="14.25" customHeight="1">
      <c r="G3711" s="3" t="s">
        <v>3759</v>
      </c>
    </row>
    <row r="3712" ht="14.25" customHeight="1">
      <c r="G3712" s="3" t="s">
        <v>3760</v>
      </c>
    </row>
    <row r="3713" ht="14.25" customHeight="1">
      <c r="G3713" s="3" t="s">
        <v>3761</v>
      </c>
    </row>
    <row r="3714" ht="14.25" customHeight="1">
      <c r="G3714" s="3" t="s">
        <v>3762</v>
      </c>
    </row>
    <row r="3715" ht="14.25" customHeight="1">
      <c r="G3715" s="3" t="s">
        <v>3763</v>
      </c>
    </row>
    <row r="3716" ht="14.25" customHeight="1">
      <c r="G3716" s="3" t="s">
        <v>3764</v>
      </c>
    </row>
    <row r="3717" ht="14.25" customHeight="1">
      <c r="G3717" s="3" t="s">
        <v>3765</v>
      </c>
    </row>
    <row r="3718" ht="14.25" customHeight="1">
      <c r="G3718" s="3" t="s">
        <v>3766</v>
      </c>
    </row>
    <row r="3719" ht="14.25" customHeight="1">
      <c r="G3719" s="3" t="s">
        <v>3767</v>
      </c>
    </row>
    <row r="3720" ht="14.25" customHeight="1">
      <c r="G3720" s="3" t="s">
        <v>3768</v>
      </c>
    </row>
    <row r="3721" ht="14.25" customHeight="1">
      <c r="G3721" s="3" t="s">
        <v>3769</v>
      </c>
    </row>
    <row r="3722" ht="14.25" customHeight="1">
      <c r="G3722" s="3" t="s">
        <v>3770</v>
      </c>
    </row>
    <row r="3723" ht="14.25" customHeight="1">
      <c r="G3723" s="3" t="s">
        <v>3771</v>
      </c>
    </row>
    <row r="3724" ht="14.25" customHeight="1">
      <c r="G3724" s="3" t="s">
        <v>3772</v>
      </c>
    </row>
    <row r="3725" ht="14.25" customHeight="1">
      <c r="G3725" s="3" t="s">
        <v>3773</v>
      </c>
    </row>
    <row r="3726" ht="14.25" customHeight="1">
      <c r="G3726" s="3" t="s">
        <v>3774</v>
      </c>
    </row>
    <row r="3727" ht="14.25" customHeight="1">
      <c r="G3727" s="3" t="s">
        <v>3775</v>
      </c>
    </row>
    <row r="3728" ht="14.25" customHeight="1">
      <c r="G3728" s="3" t="s">
        <v>3776</v>
      </c>
    </row>
    <row r="3729" ht="14.25" customHeight="1">
      <c r="G3729" s="3" t="s">
        <v>3777</v>
      </c>
    </row>
    <row r="3730" ht="14.25" customHeight="1">
      <c r="G3730" s="3" t="s">
        <v>3778</v>
      </c>
    </row>
    <row r="3731" ht="14.25" customHeight="1">
      <c r="G3731" s="3" t="s">
        <v>3779</v>
      </c>
    </row>
    <row r="3732" ht="14.25" customHeight="1">
      <c r="G3732" s="3" t="s">
        <v>3780</v>
      </c>
    </row>
    <row r="3733" ht="14.25" customHeight="1">
      <c r="G3733" s="3" t="s">
        <v>3781</v>
      </c>
    </row>
    <row r="3734" ht="14.25" customHeight="1">
      <c r="G3734" s="3" t="s">
        <v>3782</v>
      </c>
    </row>
    <row r="3735" ht="14.25" customHeight="1">
      <c r="G3735" s="3" t="s">
        <v>3783</v>
      </c>
    </row>
    <row r="3736" ht="14.25" customHeight="1">
      <c r="G3736" s="3" t="s">
        <v>3784</v>
      </c>
    </row>
    <row r="3737" ht="14.25" customHeight="1">
      <c r="G3737" s="3" t="s">
        <v>3785</v>
      </c>
    </row>
    <row r="3738" ht="14.25" customHeight="1">
      <c r="G3738" s="3" t="s">
        <v>3786</v>
      </c>
    </row>
    <row r="3739" ht="14.25" customHeight="1">
      <c r="G3739" s="3" t="s">
        <v>3787</v>
      </c>
    </row>
    <row r="3740" ht="14.25" customHeight="1">
      <c r="G3740" s="3" t="s">
        <v>3788</v>
      </c>
    </row>
    <row r="3741" ht="14.25" customHeight="1">
      <c r="G3741" s="3" t="s">
        <v>3789</v>
      </c>
    </row>
    <row r="3742" ht="14.25" customHeight="1">
      <c r="G3742" s="3" t="s">
        <v>3790</v>
      </c>
    </row>
    <row r="3743" ht="14.25" customHeight="1">
      <c r="G3743" s="3" t="s">
        <v>3791</v>
      </c>
    </row>
    <row r="3744" ht="14.25" customHeight="1">
      <c r="G3744" s="3" t="s">
        <v>3792</v>
      </c>
    </row>
    <row r="3745" ht="14.25" customHeight="1">
      <c r="G3745" s="3" t="s">
        <v>3793</v>
      </c>
    </row>
    <row r="3746" ht="14.25" customHeight="1">
      <c r="G3746" s="3" t="s">
        <v>3794</v>
      </c>
    </row>
    <row r="3747" ht="14.25" customHeight="1">
      <c r="G3747" s="3" t="s">
        <v>3795</v>
      </c>
    </row>
    <row r="3748" ht="14.25" customHeight="1">
      <c r="G3748" s="3" t="s">
        <v>3796</v>
      </c>
    </row>
    <row r="3749" ht="14.25" customHeight="1">
      <c r="G3749" s="3" t="s">
        <v>3797</v>
      </c>
    </row>
    <row r="3750" ht="14.25" customHeight="1">
      <c r="G3750" s="3" t="s">
        <v>3798</v>
      </c>
    </row>
    <row r="3751" ht="14.25" customHeight="1">
      <c r="G3751" s="3" t="s">
        <v>3799</v>
      </c>
    </row>
    <row r="3752" ht="14.25" customHeight="1">
      <c r="G3752" s="3" t="s">
        <v>3800</v>
      </c>
    </row>
    <row r="3753" ht="14.25" customHeight="1">
      <c r="G3753" s="3" t="s">
        <v>3801</v>
      </c>
    </row>
    <row r="3754" ht="14.25" customHeight="1">
      <c r="G3754" s="3" t="s">
        <v>3802</v>
      </c>
    </row>
    <row r="3755" ht="14.25" customHeight="1">
      <c r="G3755" s="3" t="s">
        <v>3803</v>
      </c>
    </row>
    <row r="3756" ht="14.25" customHeight="1">
      <c r="G3756" s="3" t="s">
        <v>3804</v>
      </c>
    </row>
    <row r="3757" ht="14.25" customHeight="1">
      <c r="G3757" s="3" t="s">
        <v>3805</v>
      </c>
    </row>
    <row r="3758" ht="14.25" customHeight="1">
      <c r="G3758" s="3" t="s">
        <v>3806</v>
      </c>
    </row>
    <row r="3759" ht="14.25" customHeight="1">
      <c r="G3759" s="3" t="s">
        <v>3807</v>
      </c>
    </row>
    <row r="3760" ht="14.25" customHeight="1">
      <c r="G3760" s="3" t="s">
        <v>3808</v>
      </c>
    </row>
    <row r="3761" ht="14.25" customHeight="1">
      <c r="G3761" s="3" t="s">
        <v>3809</v>
      </c>
    </row>
    <row r="3762" ht="14.25" customHeight="1">
      <c r="G3762" s="3" t="s">
        <v>3810</v>
      </c>
    </row>
    <row r="3763" ht="14.25" customHeight="1">
      <c r="G3763" s="3" t="s">
        <v>3811</v>
      </c>
    </row>
    <row r="3764" ht="14.25" customHeight="1">
      <c r="G3764" s="3" t="s">
        <v>3812</v>
      </c>
    </row>
    <row r="3765" ht="14.25" customHeight="1">
      <c r="G3765" s="3" t="s">
        <v>3813</v>
      </c>
    </row>
    <row r="3766" ht="14.25" customHeight="1">
      <c r="G3766" s="3" t="s">
        <v>3814</v>
      </c>
    </row>
    <row r="3767" ht="14.25" customHeight="1">
      <c r="G3767" s="3" t="s">
        <v>3815</v>
      </c>
    </row>
    <row r="3768" ht="14.25" customHeight="1">
      <c r="G3768" s="3" t="s">
        <v>3816</v>
      </c>
    </row>
    <row r="3769" ht="14.25" customHeight="1">
      <c r="G3769" s="3" t="s">
        <v>3817</v>
      </c>
    </row>
    <row r="3770" ht="14.25" customHeight="1">
      <c r="G3770" s="3" t="s">
        <v>3818</v>
      </c>
    </row>
    <row r="3771" ht="14.25" customHeight="1">
      <c r="G3771" s="3" t="s">
        <v>3819</v>
      </c>
    </row>
    <row r="3772" ht="14.25" customHeight="1">
      <c r="G3772" s="3" t="s">
        <v>3820</v>
      </c>
    </row>
    <row r="3773" ht="14.25" customHeight="1">
      <c r="G3773" s="3" t="s">
        <v>3821</v>
      </c>
    </row>
    <row r="3774" ht="14.25" customHeight="1">
      <c r="G3774" s="3" t="s">
        <v>3822</v>
      </c>
    </row>
    <row r="3775" ht="14.25" customHeight="1">
      <c r="G3775" s="3" t="s">
        <v>3823</v>
      </c>
    </row>
    <row r="3776" ht="14.25" customHeight="1">
      <c r="G3776" s="3" t="s">
        <v>3824</v>
      </c>
    </row>
    <row r="3777" ht="14.25" customHeight="1">
      <c r="G3777" s="3" t="s">
        <v>3825</v>
      </c>
    </row>
    <row r="3778" ht="14.25" customHeight="1">
      <c r="G3778" s="3" t="s">
        <v>3826</v>
      </c>
    </row>
    <row r="3779" ht="14.25" customHeight="1">
      <c r="G3779" s="3" t="s">
        <v>3827</v>
      </c>
    </row>
    <row r="3780" ht="14.25" customHeight="1">
      <c r="G3780" s="3" t="s">
        <v>3828</v>
      </c>
    </row>
    <row r="3781" ht="14.25" customHeight="1">
      <c r="G3781" s="3" t="s">
        <v>3829</v>
      </c>
    </row>
    <row r="3782" ht="14.25" customHeight="1">
      <c r="G3782" s="3" t="s">
        <v>3830</v>
      </c>
    </row>
    <row r="3783" ht="14.25" customHeight="1">
      <c r="G3783" s="3" t="s">
        <v>3831</v>
      </c>
    </row>
    <row r="3784" ht="14.25" customHeight="1">
      <c r="G3784" s="3" t="s">
        <v>3832</v>
      </c>
    </row>
    <row r="3785" ht="14.25" customHeight="1">
      <c r="G3785" s="3" t="s">
        <v>3833</v>
      </c>
    </row>
    <row r="3786" ht="14.25" customHeight="1">
      <c r="G3786" s="3" t="s">
        <v>3834</v>
      </c>
    </row>
    <row r="3787" ht="14.25" customHeight="1">
      <c r="G3787" s="3" t="s">
        <v>3835</v>
      </c>
    </row>
    <row r="3788" ht="14.25" customHeight="1">
      <c r="G3788" s="3" t="s">
        <v>3836</v>
      </c>
    </row>
    <row r="3789" ht="14.25" customHeight="1">
      <c r="G3789" s="3" t="s">
        <v>3837</v>
      </c>
    </row>
    <row r="3790" ht="14.25" customHeight="1">
      <c r="G3790" s="3" t="s">
        <v>3838</v>
      </c>
    </row>
    <row r="3791" ht="14.25" customHeight="1">
      <c r="G3791" s="3" t="s">
        <v>3839</v>
      </c>
    </row>
    <row r="3792" ht="14.25" customHeight="1">
      <c r="G3792" s="3" t="s">
        <v>3840</v>
      </c>
    </row>
    <row r="3793" ht="14.25" customHeight="1">
      <c r="G3793" s="3" t="s">
        <v>3841</v>
      </c>
    </row>
    <row r="3794" ht="14.25" customHeight="1">
      <c r="G3794" s="3" t="s">
        <v>3842</v>
      </c>
    </row>
    <row r="3795" ht="14.25" customHeight="1">
      <c r="G3795" s="3" t="s">
        <v>3843</v>
      </c>
    </row>
    <row r="3796" ht="14.25" customHeight="1">
      <c r="G3796" s="3" t="s">
        <v>3844</v>
      </c>
    </row>
    <row r="3797" ht="14.25" customHeight="1">
      <c r="G3797" s="3" t="s">
        <v>3845</v>
      </c>
    </row>
    <row r="3798" ht="14.25" customHeight="1">
      <c r="G3798" s="3" t="s">
        <v>3846</v>
      </c>
    </row>
    <row r="3799" ht="14.25" customHeight="1">
      <c r="G3799" s="3" t="s">
        <v>3847</v>
      </c>
    </row>
    <row r="3800" ht="14.25" customHeight="1">
      <c r="G3800" s="3" t="s">
        <v>3848</v>
      </c>
    </row>
    <row r="3801" ht="14.25" customHeight="1">
      <c r="G3801" s="3" t="s">
        <v>3849</v>
      </c>
    </row>
    <row r="3802" ht="14.25" customHeight="1">
      <c r="G3802" s="3" t="s">
        <v>3850</v>
      </c>
    </row>
    <row r="3803" ht="14.25" customHeight="1">
      <c r="G3803" s="3" t="s">
        <v>3851</v>
      </c>
    </row>
    <row r="3804" ht="14.25" customHeight="1">
      <c r="G3804" s="3" t="s">
        <v>3852</v>
      </c>
    </row>
    <row r="3805" ht="14.25" customHeight="1">
      <c r="G3805" s="3" t="s">
        <v>3853</v>
      </c>
    </row>
    <row r="3806" ht="14.25" customHeight="1">
      <c r="G3806" s="3" t="s">
        <v>3854</v>
      </c>
    </row>
    <row r="3807" ht="14.25" customHeight="1">
      <c r="G3807" s="3" t="s">
        <v>3855</v>
      </c>
    </row>
    <row r="3808" ht="14.25" customHeight="1">
      <c r="G3808" s="3" t="s">
        <v>3856</v>
      </c>
    </row>
    <row r="3809" ht="14.25" customHeight="1">
      <c r="G3809" s="3" t="s">
        <v>3857</v>
      </c>
    </row>
    <row r="3810" ht="14.25" customHeight="1">
      <c r="G3810" s="3" t="s">
        <v>3858</v>
      </c>
    </row>
    <row r="3811" ht="14.25" customHeight="1">
      <c r="G3811" s="3" t="s">
        <v>3859</v>
      </c>
    </row>
    <row r="3812" ht="14.25" customHeight="1">
      <c r="G3812" s="3" t="s">
        <v>3860</v>
      </c>
    </row>
    <row r="3813" ht="14.25" customHeight="1">
      <c r="G3813" s="3" t="s">
        <v>3861</v>
      </c>
    </row>
    <row r="3814" ht="14.25" customHeight="1">
      <c r="G3814" s="3" t="s">
        <v>3862</v>
      </c>
    </row>
    <row r="3815" ht="14.25" customHeight="1">
      <c r="G3815" s="3" t="s">
        <v>3863</v>
      </c>
    </row>
    <row r="3816" ht="14.25" customHeight="1">
      <c r="G3816" s="3" t="s">
        <v>3864</v>
      </c>
    </row>
    <row r="3817" ht="14.25" customHeight="1">
      <c r="G3817" s="3" t="s">
        <v>3865</v>
      </c>
    </row>
    <row r="3818" ht="14.25" customHeight="1">
      <c r="G3818" s="3" t="s">
        <v>3866</v>
      </c>
    </row>
    <row r="3819" ht="14.25" customHeight="1">
      <c r="G3819" s="3" t="s">
        <v>3867</v>
      </c>
    </row>
    <row r="3820" ht="14.25" customHeight="1">
      <c r="G3820" s="3" t="s">
        <v>3868</v>
      </c>
    </row>
    <row r="3821" ht="14.25" customHeight="1">
      <c r="G3821" s="3" t="s">
        <v>3869</v>
      </c>
    </row>
    <row r="3822" ht="14.25" customHeight="1">
      <c r="G3822" s="3" t="s">
        <v>3870</v>
      </c>
    </row>
    <row r="3823" ht="14.25" customHeight="1">
      <c r="G3823" s="3" t="s">
        <v>3871</v>
      </c>
    </row>
    <row r="3824" ht="14.25" customHeight="1">
      <c r="G3824" s="3" t="s">
        <v>3872</v>
      </c>
    </row>
    <row r="3825" ht="14.25" customHeight="1">
      <c r="G3825" s="3" t="s">
        <v>3873</v>
      </c>
    </row>
    <row r="3826" ht="14.25" customHeight="1">
      <c r="G3826" s="3" t="s">
        <v>3874</v>
      </c>
    </row>
    <row r="3827" ht="14.25" customHeight="1">
      <c r="G3827" s="3" t="s">
        <v>3875</v>
      </c>
    </row>
    <row r="3828" ht="14.25" customHeight="1">
      <c r="G3828" s="3" t="s">
        <v>3876</v>
      </c>
    </row>
    <row r="3829" ht="14.25" customHeight="1">
      <c r="G3829" s="3" t="s">
        <v>3877</v>
      </c>
    </row>
    <row r="3830" ht="14.25" customHeight="1">
      <c r="G3830" s="3" t="s">
        <v>3878</v>
      </c>
    </row>
    <row r="3831" ht="14.25" customHeight="1">
      <c r="G3831" s="3" t="s">
        <v>3879</v>
      </c>
    </row>
    <row r="3832" ht="14.25" customHeight="1">
      <c r="G3832" s="3" t="s">
        <v>3880</v>
      </c>
    </row>
    <row r="3833" ht="14.25" customHeight="1">
      <c r="G3833" s="3" t="s">
        <v>3881</v>
      </c>
    </row>
    <row r="3834" ht="14.25" customHeight="1">
      <c r="G3834" s="3" t="s">
        <v>3882</v>
      </c>
    </row>
    <row r="3835" ht="14.25" customHeight="1">
      <c r="G3835" s="3" t="s">
        <v>3883</v>
      </c>
    </row>
    <row r="3836" ht="14.25" customHeight="1">
      <c r="G3836" s="3" t="s">
        <v>3884</v>
      </c>
    </row>
    <row r="3837" ht="14.25" customHeight="1">
      <c r="G3837" s="3" t="s">
        <v>3885</v>
      </c>
    </row>
    <row r="3838" ht="14.25" customHeight="1">
      <c r="G3838" s="3" t="s">
        <v>3886</v>
      </c>
    </row>
    <row r="3839" ht="14.25" customHeight="1">
      <c r="G3839" s="3" t="s">
        <v>3887</v>
      </c>
    </row>
    <row r="3840" ht="14.25" customHeight="1">
      <c r="G3840" s="3" t="s">
        <v>3888</v>
      </c>
    </row>
    <row r="3841" ht="14.25" customHeight="1">
      <c r="G3841" s="3" t="s">
        <v>3889</v>
      </c>
    </row>
    <row r="3842" ht="14.25" customHeight="1">
      <c r="G3842" s="3" t="s">
        <v>3890</v>
      </c>
    </row>
    <row r="3843" ht="14.25" customHeight="1">
      <c r="G3843" s="3" t="s">
        <v>3891</v>
      </c>
    </row>
    <row r="3844" ht="14.25" customHeight="1">
      <c r="G3844" s="3" t="s">
        <v>3892</v>
      </c>
    </row>
    <row r="3845" ht="14.25" customHeight="1">
      <c r="G3845" s="3" t="s">
        <v>3893</v>
      </c>
    </row>
    <row r="3846" ht="14.25" customHeight="1">
      <c r="G3846" s="3" t="s">
        <v>3894</v>
      </c>
    </row>
    <row r="3847" ht="14.25" customHeight="1">
      <c r="G3847" s="3" t="s">
        <v>3895</v>
      </c>
    </row>
    <row r="3848" ht="14.25" customHeight="1">
      <c r="G3848" s="3" t="s">
        <v>3896</v>
      </c>
    </row>
    <row r="3849" ht="14.25" customHeight="1">
      <c r="G3849" s="3" t="s">
        <v>3897</v>
      </c>
    </row>
    <row r="3850" ht="14.25" customHeight="1">
      <c r="G3850" s="3" t="s">
        <v>3898</v>
      </c>
    </row>
    <row r="3851" ht="14.25" customHeight="1">
      <c r="G3851" s="3" t="s">
        <v>3899</v>
      </c>
    </row>
    <row r="3852" ht="14.25" customHeight="1">
      <c r="G3852" s="3" t="s">
        <v>3900</v>
      </c>
    </row>
    <row r="3853" ht="14.25" customHeight="1">
      <c r="G3853" s="3" t="s">
        <v>3901</v>
      </c>
    </row>
    <row r="3854" ht="14.25" customHeight="1">
      <c r="G3854" s="3" t="s">
        <v>3902</v>
      </c>
    </row>
    <row r="3855" ht="14.25" customHeight="1">
      <c r="G3855" s="3" t="s">
        <v>3903</v>
      </c>
    </row>
    <row r="3856" ht="14.25" customHeight="1">
      <c r="G3856" s="3" t="s">
        <v>3904</v>
      </c>
    </row>
    <row r="3857" ht="14.25" customHeight="1">
      <c r="G3857" s="3" t="s">
        <v>3905</v>
      </c>
    </row>
    <row r="3858" ht="14.25" customHeight="1">
      <c r="G3858" s="3" t="s">
        <v>3906</v>
      </c>
    </row>
    <row r="3859" ht="14.25" customHeight="1">
      <c r="G3859" s="3" t="s">
        <v>3907</v>
      </c>
    </row>
    <row r="3860" ht="14.25" customHeight="1">
      <c r="G3860" s="3" t="s">
        <v>3908</v>
      </c>
    </row>
    <row r="3861" ht="14.25" customHeight="1">
      <c r="G3861" s="3" t="s">
        <v>3909</v>
      </c>
    </row>
    <row r="3862" ht="14.25" customHeight="1">
      <c r="G3862" s="3" t="s">
        <v>3910</v>
      </c>
    </row>
    <row r="3863" ht="14.25" customHeight="1">
      <c r="G3863" s="3" t="s">
        <v>3911</v>
      </c>
    </row>
    <row r="3864" ht="14.25" customHeight="1">
      <c r="G3864" s="3" t="s">
        <v>3912</v>
      </c>
    </row>
    <row r="3865" ht="14.25" customHeight="1">
      <c r="G3865" s="3" t="s">
        <v>3913</v>
      </c>
    </row>
    <row r="3866" ht="14.25" customHeight="1">
      <c r="G3866" s="3" t="s">
        <v>3914</v>
      </c>
    </row>
    <row r="3867" ht="14.25" customHeight="1">
      <c r="G3867" s="3" t="s">
        <v>3915</v>
      </c>
    </row>
    <row r="3868" ht="14.25" customHeight="1">
      <c r="G3868" s="3" t="s">
        <v>3916</v>
      </c>
    </row>
    <row r="3869" ht="14.25" customHeight="1">
      <c r="G3869" s="3" t="s">
        <v>3917</v>
      </c>
    </row>
    <row r="3870" ht="14.25" customHeight="1">
      <c r="G3870" s="3" t="s">
        <v>3918</v>
      </c>
    </row>
    <row r="3871" ht="14.25" customHeight="1">
      <c r="G3871" s="3" t="s">
        <v>3919</v>
      </c>
    </row>
    <row r="3872" ht="14.25" customHeight="1">
      <c r="G3872" s="3" t="s">
        <v>3920</v>
      </c>
    </row>
    <row r="3873" ht="14.25" customHeight="1">
      <c r="G3873" s="3" t="s">
        <v>3921</v>
      </c>
    </row>
    <row r="3874" ht="14.25" customHeight="1">
      <c r="G3874" s="3" t="s">
        <v>3922</v>
      </c>
    </row>
    <row r="3875" ht="14.25" customHeight="1">
      <c r="G3875" s="3" t="s">
        <v>3923</v>
      </c>
    </row>
    <row r="3876" ht="14.25" customHeight="1">
      <c r="G3876" s="3" t="s">
        <v>3924</v>
      </c>
    </row>
    <row r="3877" ht="14.25" customHeight="1">
      <c r="G3877" s="3" t="s">
        <v>3925</v>
      </c>
    </row>
    <row r="3878" ht="14.25" customHeight="1">
      <c r="G3878" s="3" t="s">
        <v>3926</v>
      </c>
    </row>
    <row r="3879" ht="14.25" customHeight="1">
      <c r="G3879" s="3" t="s">
        <v>3927</v>
      </c>
    </row>
    <row r="3880" ht="14.25" customHeight="1">
      <c r="G3880" s="3" t="s">
        <v>3928</v>
      </c>
    </row>
    <row r="3881" ht="14.25" customHeight="1">
      <c r="G3881" s="3" t="s">
        <v>3929</v>
      </c>
    </row>
    <row r="3882" ht="14.25" customHeight="1">
      <c r="G3882" s="3" t="s">
        <v>3930</v>
      </c>
    </row>
    <row r="3883" ht="14.25" customHeight="1">
      <c r="G3883" s="3" t="s">
        <v>3931</v>
      </c>
    </row>
    <row r="3884" ht="14.25" customHeight="1">
      <c r="G3884" s="3" t="s">
        <v>3932</v>
      </c>
    </row>
    <row r="3885" ht="14.25" customHeight="1">
      <c r="G3885" s="3" t="s">
        <v>3933</v>
      </c>
    </row>
    <row r="3886" ht="14.25" customHeight="1">
      <c r="G3886" s="3" t="s">
        <v>3934</v>
      </c>
    </row>
    <row r="3887" ht="14.25" customHeight="1">
      <c r="G3887" s="3" t="s">
        <v>3935</v>
      </c>
    </row>
    <row r="3888" ht="14.25" customHeight="1">
      <c r="G3888" s="3" t="s">
        <v>3936</v>
      </c>
    </row>
    <row r="3889" ht="14.25" customHeight="1">
      <c r="G3889" s="3" t="s">
        <v>3937</v>
      </c>
    </row>
    <row r="3890" ht="14.25" customHeight="1">
      <c r="G3890" s="3" t="s">
        <v>3938</v>
      </c>
    </row>
    <row r="3891" ht="14.25" customHeight="1">
      <c r="G3891" s="3" t="s">
        <v>3939</v>
      </c>
    </row>
    <row r="3892" ht="14.25" customHeight="1">
      <c r="G3892" s="3" t="s">
        <v>3940</v>
      </c>
    </row>
    <row r="3893" ht="14.25" customHeight="1">
      <c r="G3893" s="3" t="s">
        <v>3941</v>
      </c>
    </row>
    <row r="3894" ht="14.25" customHeight="1">
      <c r="G3894" s="3" t="s">
        <v>3942</v>
      </c>
    </row>
    <row r="3895" ht="14.25" customHeight="1">
      <c r="G3895" s="3" t="s">
        <v>3943</v>
      </c>
    </row>
    <row r="3896" ht="14.25" customHeight="1">
      <c r="G3896" s="3" t="s">
        <v>3944</v>
      </c>
    </row>
    <row r="3897" ht="14.25" customHeight="1">
      <c r="G3897" s="3" t="s">
        <v>3945</v>
      </c>
    </row>
    <row r="3898" ht="14.25" customHeight="1">
      <c r="G3898" s="3" t="s">
        <v>3946</v>
      </c>
    </row>
    <row r="3899" ht="14.25" customHeight="1">
      <c r="G3899" s="3" t="s">
        <v>3947</v>
      </c>
    </row>
    <row r="3900" ht="14.25" customHeight="1">
      <c r="G3900" s="3" t="s">
        <v>3948</v>
      </c>
    </row>
    <row r="3901" ht="14.25" customHeight="1">
      <c r="G3901" s="3" t="s">
        <v>3949</v>
      </c>
    </row>
    <row r="3902" ht="14.25" customHeight="1">
      <c r="G3902" s="3" t="s">
        <v>3950</v>
      </c>
    </row>
    <row r="3903" ht="14.25" customHeight="1">
      <c r="G3903" s="3" t="s">
        <v>3951</v>
      </c>
    </row>
    <row r="3904" ht="14.25" customHeight="1">
      <c r="G3904" s="3" t="s">
        <v>3952</v>
      </c>
    </row>
    <row r="3905" ht="14.25" customHeight="1">
      <c r="G3905" s="3" t="s">
        <v>3953</v>
      </c>
    </row>
    <row r="3906" ht="14.25" customHeight="1">
      <c r="G3906" s="3" t="s">
        <v>3954</v>
      </c>
    </row>
    <row r="3907" ht="14.25" customHeight="1">
      <c r="G3907" s="3" t="s">
        <v>3955</v>
      </c>
    </row>
    <row r="3908" ht="14.25" customHeight="1">
      <c r="G3908" s="3" t="s">
        <v>3956</v>
      </c>
    </row>
    <row r="3909" ht="14.25" customHeight="1">
      <c r="G3909" s="3" t="s">
        <v>3957</v>
      </c>
    </row>
    <row r="3910" ht="14.25" customHeight="1">
      <c r="G3910" s="3" t="s">
        <v>3958</v>
      </c>
    </row>
    <row r="3911" ht="14.25" customHeight="1">
      <c r="G3911" s="3" t="s">
        <v>3959</v>
      </c>
    </row>
    <row r="3912" ht="14.25" customHeight="1">
      <c r="G3912" s="3" t="s">
        <v>3960</v>
      </c>
    </row>
    <row r="3913" ht="14.25" customHeight="1">
      <c r="G3913" s="3" t="s">
        <v>3961</v>
      </c>
    </row>
    <row r="3914" ht="14.25" customHeight="1">
      <c r="G3914" s="3" t="s">
        <v>3962</v>
      </c>
    </row>
    <row r="3915" ht="14.25" customHeight="1">
      <c r="G3915" s="3" t="s">
        <v>3963</v>
      </c>
    </row>
    <row r="3916" ht="14.25" customHeight="1">
      <c r="G3916" s="3" t="s">
        <v>3964</v>
      </c>
    </row>
    <row r="3917" ht="14.25" customHeight="1">
      <c r="G3917" s="3" t="s">
        <v>3965</v>
      </c>
    </row>
    <row r="3918" ht="14.25" customHeight="1">
      <c r="G3918" s="3" t="s">
        <v>3966</v>
      </c>
    </row>
    <row r="3919" ht="14.25" customHeight="1">
      <c r="G3919" s="3" t="s">
        <v>3967</v>
      </c>
    </row>
    <row r="3920" ht="14.25" customHeight="1">
      <c r="G3920" s="3" t="s">
        <v>3968</v>
      </c>
    </row>
    <row r="3921" ht="14.25" customHeight="1">
      <c r="G3921" s="3" t="s">
        <v>3969</v>
      </c>
    </row>
    <row r="3922" ht="14.25" customHeight="1">
      <c r="G3922" s="3" t="s">
        <v>3970</v>
      </c>
    </row>
    <row r="3923" ht="14.25" customHeight="1">
      <c r="G3923" s="3" t="s">
        <v>3971</v>
      </c>
    </row>
    <row r="3924" ht="14.25" customHeight="1">
      <c r="G3924" s="3" t="s">
        <v>3972</v>
      </c>
    </row>
    <row r="3925" ht="14.25" customHeight="1">
      <c r="G3925" s="3" t="s">
        <v>3973</v>
      </c>
    </row>
    <row r="3926" ht="14.25" customHeight="1">
      <c r="G3926" s="3" t="s">
        <v>3974</v>
      </c>
    </row>
    <row r="3927" ht="14.25" customHeight="1">
      <c r="G3927" s="3" t="s">
        <v>3975</v>
      </c>
    </row>
    <row r="3928" ht="14.25" customHeight="1">
      <c r="G3928" s="3" t="s">
        <v>3976</v>
      </c>
    </row>
    <row r="3929" ht="14.25" customHeight="1">
      <c r="G3929" s="3" t="s">
        <v>3977</v>
      </c>
    </row>
    <row r="3930" ht="14.25" customHeight="1">
      <c r="G3930" s="3" t="s">
        <v>3978</v>
      </c>
    </row>
    <row r="3931" ht="14.25" customHeight="1">
      <c r="G3931" s="3" t="s">
        <v>3979</v>
      </c>
    </row>
    <row r="3932" ht="14.25" customHeight="1">
      <c r="G3932" s="3" t="s">
        <v>3980</v>
      </c>
    </row>
    <row r="3933" ht="14.25" customHeight="1">
      <c r="G3933" s="3" t="s">
        <v>3981</v>
      </c>
    </row>
    <row r="3934" ht="14.25" customHeight="1">
      <c r="G3934" s="3" t="s">
        <v>3982</v>
      </c>
    </row>
    <row r="3935" ht="14.25" customHeight="1">
      <c r="G3935" s="3" t="s">
        <v>3983</v>
      </c>
    </row>
    <row r="3936" ht="14.25" customHeight="1">
      <c r="G3936" s="3" t="s">
        <v>3984</v>
      </c>
    </row>
    <row r="3937" ht="14.25" customHeight="1">
      <c r="G3937" s="3" t="s">
        <v>3985</v>
      </c>
    </row>
    <row r="3938" ht="14.25" customHeight="1">
      <c r="G3938" s="3" t="s">
        <v>3986</v>
      </c>
    </row>
    <row r="3939" ht="14.25" customHeight="1">
      <c r="G3939" s="3" t="s">
        <v>3987</v>
      </c>
    </row>
    <row r="3940" ht="14.25" customHeight="1">
      <c r="G3940" s="3" t="s">
        <v>3988</v>
      </c>
    </row>
    <row r="3941" ht="14.25" customHeight="1">
      <c r="G3941" s="3" t="s">
        <v>3989</v>
      </c>
    </row>
    <row r="3942" ht="14.25" customHeight="1">
      <c r="G3942" s="3" t="s">
        <v>3990</v>
      </c>
    </row>
    <row r="3943" ht="14.25" customHeight="1">
      <c r="G3943" s="3" t="s">
        <v>3991</v>
      </c>
    </row>
    <row r="3944" ht="14.25" customHeight="1">
      <c r="G3944" s="3" t="s">
        <v>3992</v>
      </c>
    </row>
    <row r="3945" ht="14.25" customHeight="1">
      <c r="G3945" s="3" t="s">
        <v>3993</v>
      </c>
    </row>
    <row r="3946" ht="14.25" customHeight="1">
      <c r="G3946" s="3" t="s">
        <v>3994</v>
      </c>
    </row>
    <row r="3947" ht="14.25" customHeight="1">
      <c r="G3947" s="3" t="s">
        <v>3995</v>
      </c>
    </row>
    <row r="3948" ht="14.25" customHeight="1">
      <c r="G3948" s="3" t="s">
        <v>3996</v>
      </c>
    </row>
    <row r="3949" ht="14.25" customHeight="1">
      <c r="G3949" s="3" t="s">
        <v>3997</v>
      </c>
    </row>
    <row r="3950" ht="14.25" customHeight="1">
      <c r="G3950" s="3" t="s">
        <v>3998</v>
      </c>
    </row>
    <row r="3951" ht="14.25" customHeight="1">
      <c r="G3951" s="3" t="s">
        <v>3999</v>
      </c>
    </row>
    <row r="3952" ht="14.25" customHeight="1">
      <c r="G3952" s="3" t="s">
        <v>4000</v>
      </c>
    </row>
    <row r="3953" ht="14.25" customHeight="1">
      <c r="G3953" s="3" t="s">
        <v>4001</v>
      </c>
    </row>
    <row r="3954" ht="14.25" customHeight="1">
      <c r="G3954" s="3" t="s">
        <v>4002</v>
      </c>
    </row>
    <row r="3955" ht="14.25" customHeight="1">
      <c r="G3955" s="3" t="s">
        <v>4003</v>
      </c>
    </row>
    <row r="3956" ht="14.25" customHeight="1">
      <c r="G3956" s="3" t="s">
        <v>4004</v>
      </c>
    </row>
    <row r="3957" ht="14.25" customHeight="1">
      <c r="G3957" s="3" t="s">
        <v>4005</v>
      </c>
    </row>
    <row r="3958" ht="14.25" customHeight="1">
      <c r="G3958" s="3" t="s">
        <v>4006</v>
      </c>
    </row>
    <row r="3959" ht="14.25" customHeight="1">
      <c r="G3959" s="3" t="s">
        <v>4007</v>
      </c>
    </row>
    <row r="3960" ht="14.25" customHeight="1">
      <c r="G3960" s="3" t="s">
        <v>4008</v>
      </c>
    </row>
    <row r="3961" ht="14.25" customHeight="1">
      <c r="G3961" s="3" t="s">
        <v>4009</v>
      </c>
    </row>
    <row r="3962" ht="14.25" customHeight="1">
      <c r="G3962" s="3" t="s">
        <v>4010</v>
      </c>
    </row>
    <row r="3963" ht="14.25" customHeight="1">
      <c r="G3963" s="3" t="s">
        <v>4011</v>
      </c>
    </row>
    <row r="3964" ht="14.25" customHeight="1">
      <c r="G3964" s="3" t="s">
        <v>4012</v>
      </c>
    </row>
    <row r="3965" ht="14.25" customHeight="1">
      <c r="G3965" s="3" t="s">
        <v>4013</v>
      </c>
    </row>
    <row r="3966" ht="14.25" customHeight="1">
      <c r="G3966" s="3" t="s">
        <v>4014</v>
      </c>
    </row>
    <row r="3967" ht="14.25" customHeight="1">
      <c r="G3967" s="3" t="s">
        <v>4015</v>
      </c>
    </row>
    <row r="3968" ht="14.25" customHeight="1">
      <c r="G3968" s="3" t="s">
        <v>4016</v>
      </c>
    </row>
    <row r="3969" ht="14.25" customHeight="1">
      <c r="G3969" s="3" t="s">
        <v>4017</v>
      </c>
    </row>
    <row r="3970" ht="14.25" customHeight="1">
      <c r="G3970" s="3" t="s">
        <v>4018</v>
      </c>
    </row>
    <row r="3971" ht="14.25" customHeight="1">
      <c r="G3971" s="3" t="s">
        <v>4019</v>
      </c>
    </row>
    <row r="3972" ht="14.25" customHeight="1">
      <c r="G3972" s="3" t="s">
        <v>4020</v>
      </c>
    </row>
    <row r="3973" ht="14.25" customHeight="1">
      <c r="G3973" s="3" t="s">
        <v>4021</v>
      </c>
    </row>
    <row r="3974" ht="14.25" customHeight="1">
      <c r="G3974" s="3" t="s">
        <v>4022</v>
      </c>
    </row>
    <row r="3975" ht="14.25" customHeight="1">
      <c r="G3975" s="3" t="s">
        <v>4023</v>
      </c>
    </row>
    <row r="3976" ht="14.25" customHeight="1">
      <c r="G3976" s="3" t="s">
        <v>4024</v>
      </c>
    </row>
    <row r="3977" ht="14.25" customHeight="1">
      <c r="G3977" s="3" t="s">
        <v>4025</v>
      </c>
    </row>
    <row r="3978" ht="14.25" customHeight="1">
      <c r="G3978" s="3" t="s">
        <v>4026</v>
      </c>
    </row>
    <row r="3979" ht="14.25" customHeight="1">
      <c r="G3979" s="3" t="s">
        <v>4027</v>
      </c>
    </row>
    <row r="3980" ht="14.25" customHeight="1">
      <c r="G3980" s="3" t="s">
        <v>4028</v>
      </c>
    </row>
    <row r="3981" ht="14.25" customHeight="1">
      <c r="G3981" s="3" t="s">
        <v>4029</v>
      </c>
    </row>
    <row r="3982" ht="14.25" customHeight="1">
      <c r="G3982" s="3" t="s">
        <v>4030</v>
      </c>
    </row>
    <row r="3983" ht="14.25" customHeight="1">
      <c r="G3983" s="3" t="s">
        <v>4031</v>
      </c>
    </row>
    <row r="3984" ht="14.25" customHeight="1">
      <c r="G3984" s="3" t="s">
        <v>4032</v>
      </c>
    </row>
    <row r="3985" ht="14.25" customHeight="1">
      <c r="G3985" s="3" t="s">
        <v>4033</v>
      </c>
    </row>
    <row r="3986" ht="14.25" customHeight="1">
      <c r="G3986" s="3" t="s">
        <v>4034</v>
      </c>
    </row>
    <row r="3987" ht="14.25" customHeight="1">
      <c r="G3987" s="3" t="s">
        <v>4035</v>
      </c>
    </row>
    <row r="3988" ht="14.25" customHeight="1">
      <c r="G3988" s="3" t="s">
        <v>4036</v>
      </c>
    </row>
    <row r="3989" ht="14.25" customHeight="1">
      <c r="G3989" s="3" t="s">
        <v>4037</v>
      </c>
    </row>
    <row r="3990" ht="14.25" customHeight="1">
      <c r="G3990" s="3" t="s">
        <v>4038</v>
      </c>
    </row>
    <row r="3991" ht="14.25" customHeight="1">
      <c r="G3991" s="3" t="s">
        <v>4039</v>
      </c>
    </row>
    <row r="3992" ht="14.25" customHeight="1">
      <c r="G3992" s="3" t="s">
        <v>4040</v>
      </c>
    </row>
    <row r="3993" ht="14.25" customHeight="1">
      <c r="G3993" s="3" t="s">
        <v>4041</v>
      </c>
    </row>
    <row r="3994" ht="14.25" customHeight="1">
      <c r="G3994" s="3" t="s">
        <v>4042</v>
      </c>
    </row>
    <row r="3995" ht="14.25" customHeight="1">
      <c r="G3995" s="3" t="s">
        <v>4043</v>
      </c>
    </row>
    <row r="3996" ht="14.25" customHeight="1">
      <c r="G3996" s="3" t="s">
        <v>4044</v>
      </c>
    </row>
    <row r="3997" ht="14.25" customHeight="1">
      <c r="G3997" s="3" t="s">
        <v>4045</v>
      </c>
    </row>
    <row r="3998" ht="14.25" customHeight="1">
      <c r="G3998" s="3" t="s">
        <v>4046</v>
      </c>
    </row>
    <row r="3999" ht="14.25" customHeight="1">
      <c r="G3999" s="3" t="s">
        <v>4047</v>
      </c>
    </row>
    <row r="4000" ht="14.25" customHeight="1">
      <c r="G4000" s="3" t="s">
        <v>4048</v>
      </c>
    </row>
    <row r="4001" ht="14.25" customHeight="1">
      <c r="G4001" s="3" t="s">
        <v>4049</v>
      </c>
    </row>
    <row r="4002" ht="14.25" customHeight="1">
      <c r="G4002" s="3" t="s">
        <v>4050</v>
      </c>
    </row>
    <row r="4003" ht="14.25" customHeight="1">
      <c r="G4003" s="3" t="s">
        <v>4051</v>
      </c>
    </row>
    <row r="4004" ht="14.25" customHeight="1">
      <c r="G4004" s="3" t="s">
        <v>4052</v>
      </c>
    </row>
    <row r="4005" ht="14.25" customHeight="1">
      <c r="G4005" s="3" t="s">
        <v>4053</v>
      </c>
    </row>
    <row r="4006" ht="14.25" customHeight="1">
      <c r="G4006" s="3" t="s">
        <v>4054</v>
      </c>
    </row>
    <row r="4007" ht="14.25" customHeight="1">
      <c r="G4007" s="3" t="s">
        <v>4055</v>
      </c>
    </row>
    <row r="4008" ht="14.25" customHeight="1">
      <c r="G4008" s="3" t="s">
        <v>4056</v>
      </c>
    </row>
    <row r="4009" ht="14.25" customHeight="1">
      <c r="G4009" s="3" t="s">
        <v>4057</v>
      </c>
    </row>
    <row r="4010" ht="14.25" customHeight="1">
      <c r="G4010" s="3" t="s">
        <v>4058</v>
      </c>
    </row>
    <row r="4011" ht="14.25" customHeight="1">
      <c r="G4011" s="3" t="s">
        <v>4059</v>
      </c>
    </row>
    <row r="4012" ht="14.25" customHeight="1">
      <c r="G4012" s="3" t="s">
        <v>4060</v>
      </c>
    </row>
    <row r="4013" ht="14.25" customHeight="1">
      <c r="G4013" s="3" t="s">
        <v>4061</v>
      </c>
    </row>
    <row r="4014" ht="14.25" customHeight="1">
      <c r="G4014" s="3" t="s">
        <v>4062</v>
      </c>
    </row>
    <row r="4015" ht="14.25" customHeight="1">
      <c r="G4015" s="3" t="s">
        <v>4063</v>
      </c>
    </row>
    <row r="4016" ht="14.25" customHeight="1">
      <c r="G4016" s="3" t="s">
        <v>4064</v>
      </c>
    </row>
    <row r="4017" ht="14.25" customHeight="1">
      <c r="G4017" s="3" t="s">
        <v>4065</v>
      </c>
    </row>
    <row r="4018" ht="14.25" customHeight="1">
      <c r="G4018" s="3" t="s">
        <v>4066</v>
      </c>
    </row>
    <row r="4019" ht="14.25" customHeight="1">
      <c r="G4019" s="3" t="s">
        <v>4067</v>
      </c>
    </row>
    <row r="4020" ht="14.25" customHeight="1">
      <c r="G4020" s="3" t="s">
        <v>4068</v>
      </c>
    </row>
    <row r="4021" ht="14.25" customHeight="1">
      <c r="G4021" s="3" t="s">
        <v>4069</v>
      </c>
    </row>
    <row r="4022" ht="14.25" customHeight="1">
      <c r="G4022" s="3" t="s">
        <v>4070</v>
      </c>
    </row>
    <row r="4023" ht="14.25" customHeight="1">
      <c r="G4023" s="3" t="s">
        <v>4071</v>
      </c>
    </row>
    <row r="4024" ht="14.25" customHeight="1">
      <c r="G4024" s="3" t="s">
        <v>4072</v>
      </c>
    </row>
    <row r="4025" ht="14.25" customHeight="1">
      <c r="G4025" s="3" t="s">
        <v>4073</v>
      </c>
    </row>
    <row r="4026" ht="14.25" customHeight="1">
      <c r="G4026" s="3" t="s">
        <v>4074</v>
      </c>
    </row>
    <row r="4027" ht="14.25" customHeight="1">
      <c r="G4027" s="3" t="s">
        <v>4075</v>
      </c>
    </row>
    <row r="4028" ht="14.25" customHeight="1">
      <c r="G4028" s="3" t="s">
        <v>4076</v>
      </c>
    </row>
    <row r="4029" ht="14.25" customHeight="1">
      <c r="G4029" s="3" t="s">
        <v>4077</v>
      </c>
    </row>
    <row r="4030" ht="14.25" customHeight="1">
      <c r="G4030" s="3" t="s">
        <v>4078</v>
      </c>
    </row>
    <row r="4031" ht="14.25" customHeight="1">
      <c r="G4031" s="3" t="s">
        <v>4079</v>
      </c>
    </row>
    <row r="4032" ht="14.25" customHeight="1">
      <c r="G4032" s="3" t="s">
        <v>4080</v>
      </c>
    </row>
    <row r="4033" ht="14.25" customHeight="1">
      <c r="G4033" s="3" t="s">
        <v>4081</v>
      </c>
    </row>
    <row r="4034" ht="14.25" customHeight="1">
      <c r="G4034" s="3" t="s">
        <v>4082</v>
      </c>
    </row>
    <row r="4035" ht="14.25" customHeight="1">
      <c r="G4035" s="3" t="s">
        <v>4083</v>
      </c>
    </row>
    <row r="4036" ht="14.25" customHeight="1">
      <c r="G4036" s="3" t="s">
        <v>4084</v>
      </c>
    </row>
    <row r="4037" ht="14.25" customHeight="1">
      <c r="G4037" s="3" t="s">
        <v>4085</v>
      </c>
    </row>
    <row r="4038" ht="14.25" customHeight="1">
      <c r="G4038" s="3" t="s">
        <v>4086</v>
      </c>
    </row>
    <row r="4039" ht="14.25" customHeight="1">
      <c r="G4039" s="3" t="s">
        <v>4087</v>
      </c>
    </row>
    <row r="4040" ht="14.25" customHeight="1">
      <c r="G4040" s="3" t="s">
        <v>4088</v>
      </c>
    </row>
    <row r="4041" ht="14.25" customHeight="1">
      <c r="G4041" s="3" t="s">
        <v>4089</v>
      </c>
    </row>
    <row r="4042" ht="14.25" customHeight="1">
      <c r="G4042" s="3" t="s">
        <v>4090</v>
      </c>
    </row>
    <row r="4043" ht="14.25" customHeight="1">
      <c r="G4043" s="3" t="s">
        <v>4091</v>
      </c>
    </row>
    <row r="4044" ht="14.25" customHeight="1">
      <c r="G4044" s="3" t="s">
        <v>4092</v>
      </c>
    </row>
    <row r="4045" ht="14.25" customHeight="1">
      <c r="G4045" s="3" t="s">
        <v>4093</v>
      </c>
    </row>
    <row r="4046" ht="14.25" customHeight="1">
      <c r="G4046" s="3" t="s">
        <v>4094</v>
      </c>
    </row>
    <row r="4047" ht="14.25" customHeight="1">
      <c r="G4047" s="3" t="s">
        <v>4095</v>
      </c>
    </row>
    <row r="4048" ht="14.25" customHeight="1">
      <c r="G4048" s="3" t="s">
        <v>4096</v>
      </c>
    </row>
    <row r="4049" ht="14.25" customHeight="1">
      <c r="G4049" s="3" t="s">
        <v>4097</v>
      </c>
    </row>
    <row r="4050" ht="14.25" customHeight="1">
      <c r="G4050" s="3" t="s">
        <v>4098</v>
      </c>
    </row>
    <row r="4051" ht="14.25" customHeight="1">
      <c r="G4051" s="3" t="s">
        <v>4099</v>
      </c>
    </row>
    <row r="4052" ht="14.25" customHeight="1">
      <c r="G4052" s="3" t="s">
        <v>4100</v>
      </c>
    </row>
    <row r="4053" ht="14.25" customHeight="1">
      <c r="G4053" s="3" t="s">
        <v>4101</v>
      </c>
    </row>
    <row r="4054" ht="14.25" customHeight="1">
      <c r="G4054" s="3" t="s">
        <v>4102</v>
      </c>
    </row>
    <row r="4055" ht="14.25" customHeight="1">
      <c r="G4055" s="3" t="s">
        <v>4103</v>
      </c>
    </row>
    <row r="4056" ht="14.25" customHeight="1">
      <c r="G4056" s="3" t="s">
        <v>4104</v>
      </c>
    </row>
    <row r="4057" ht="14.25" customHeight="1">
      <c r="G4057" s="3" t="s">
        <v>4105</v>
      </c>
    </row>
    <row r="4058" ht="14.25" customHeight="1">
      <c r="G4058" s="3" t="s">
        <v>4106</v>
      </c>
    </row>
    <row r="4059" ht="14.25" customHeight="1">
      <c r="G4059" s="3" t="s">
        <v>4107</v>
      </c>
    </row>
    <row r="4060" ht="14.25" customHeight="1">
      <c r="G4060" s="3" t="s">
        <v>4108</v>
      </c>
    </row>
    <row r="4061" ht="14.25" customHeight="1">
      <c r="G4061" s="3" t="s">
        <v>4109</v>
      </c>
    </row>
    <row r="4062" ht="14.25" customHeight="1">
      <c r="G4062" s="3" t="s">
        <v>4110</v>
      </c>
    </row>
    <row r="4063" ht="14.25" customHeight="1">
      <c r="G4063" s="3" t="s">
        <v>4111</v>
      </c>
    </row>
    <row r="4064" ht="14.25" customHeight="1">
      <c r="G4064" s="3" t="s">
        <v>4112</v>
      </c>
    </row>
    <row r="4065" ht="14.25" customHeight="1">
      <c r="G4065" s="3" t="s">
        <v>4113</v>
      </c>
    </row>
    <row r="4066" ht="14.25" customHeight="1">
      <c r="G4066" s="3" t="s">
        <v>4114</v>
      </c>
    </row>
    <row r="4067" ht="14.25" customHeight="1">
      <c r="G4067" s="3" t="s">
        <v>4115</v>
      </c>
    </row>
    <row r="4068" ht="14.25" customHeight="1">
      <c r="G4068" s="3" t="s">
        <v>4116</v>
      </c>
    </row>
    <row r="4069" ht="14.25" customHeight="1">
      <c r="G4069" s="3" t="s">
        <v>4117</v>
      </c>
    </row>
    <row r="4070" ht="14.25" customHeight="1">
      <c r="G4070" s="3" t="s">
        <v>4118</v>
      </c>
    </row>
    <row r="4071" ht="14.25" customHeight="1">
      <c r="G4071" s="3" t="s">
        <v>4119</v>
      </c>
    </row>
    <row r="4072" ht="14.25" customHeight="1">
      <c r="G4072" s="3" t="s">
        <v>4120</v>
      </c>
    </row>
    <row r="4073" ht="14.25" customHeight="1">
      <c r="G4073" s="3" t="s">
        <v>4121</v>
      </c>
    </row>
    <row r="4074" ht="14.25" customHeight="1">
      <c r="G4074" s="3" t="s">
        <v>4122</v>
      </c>
    </row>
    <row r="4075" ht="14.25" customHeight="1">
      <c r="G4075" s="3" t="s">
        <v>4123</v>
      </c>
    </row>
    <row r="4076" ht="14.25" customHeight="1">
      <c r="G4076" s="3" t="s">
        <v>4124</v>
      </c>
    </row>
    <row r="4077" ht="14.25" customHeight="1">
      <c r="G4077" s="3" t="s">
        <v>4125</v>
      </c>
    </row>
    <row r="4078" ht="14.25" customHeight="1">
      <c r="G4078" s="3" t="s">
        <v>4126</v>
      </c>
    </row>
    <row r="4079" ht="14.25" customHeight="1">
      <c r="G4079" s="3" t="s">
        <v>4127</v>
      </c>
    </row>
    <row r="4080" ht="14.25" customHeight="1">
      <c r="G4080" s="3" t="s">
        <v>4128</v>
      </c>
    </row>
    <row r="4081" ht="14.25" customHeight="1">
      <c r="G4081" s="3" t="s">
        <v>4129</v>
      </c>
    </row>
    <row r="4082" ht="14.25" customHeight="1">
      <c r="G4082" s="3" t="s">
        <v>4130</v>
      </c>
    </row>
    <row r="4083" ht="14.25" customHeight="1">
      <c r="G4083" s="3" t="s">
        <v>4131</v>
      </c>
    </row>
    <row r="4084" ht="14.25" customHeight="1">
      <c r="G4084" s="3" t="s">
        <v>4132</v>
      </c>
    </row>
    <row r="4085" ht="14.25" customHeight="1">
      <c r="G4085" s="3" t="s">
        <v>4133</v>
      </c>
    </row>
    <row r="4086" ht="14.25" customHeight="1">
      <c r="G4086" s="3" t="s">
        <v>4134</v>
      </c>
    </row>
    <row r="4087" ht="14.25" customHeight="1">
      <c r="G4087" s="3" t="s">
        <v>4135</v>
      </c>
    </row>
    <row r="4088" ht="14.25" customHeight="1">
      <c r="G4088" s="3" t="s">
        <v>4136</v>
      </c>
    </row>
    <row r="4089" ht="14.25" customHeight="1">
      <c r="G4089" s="3" t="s">
        <v>4137</v>
      </c>
    </row>
    <row r="4090" ht="14.25" customHeight="1">
      <c r="G4090" s="3" t="s">
        <v>4138</v>
      </c>
    </row>
    <row r="4091" ht="14.25" customHeight="1">
      <c r="G4091" s="3" t="s">
        <v>4139</v>
      </c>
    </row>
    <row r="4092" ht="14.25" customHeight="1">
      <c r="G4092" s="3" t="s">
        <v>4140</v>
      </c>
    </row>
    <row r="4093" ht="14.25" customHeight="1">
      <c r="G4093" s="3" t="s">
        <v>4141</v>
      </c>
    </row>
    <row r="4094" ht="14.25" customHeight="1">
      <c r="G4094" s="3" t="s">
        <v>4142</v>
      </c>
    </row>
    <row r="4095" ht="14.25" customHeight="1">
      <c r="G4095" s="3" t="s">
        <v>4143</v>
      </c>
    </row>
    <row r="4096" ht="14.25" customHeight="1">
      <c r="G4096" s="3" t="s">
        <v>4144</v>
      </c>
    </row>
    <row r="4097" ht="14.25" customHeight="1">
      <c r="G4097" s="3" t="s">
        <v>4145</v>
      </c>
    </row>
    <row r="4098" ht="14.25" customHeight="1">
      <c r="G4098" s="3" t="s">
        <v>4146</v>
      </c>
    </row>
    <row r="4099" ht="14.25" customHeight="1">
      <c r="G4099" s="3" t="s">
        <v>4147</v>
      </c>
    </row>
    <row r="4100" ht="14.25" customHeight="1">
      <c r="G4100" s="3" t="s">
        <v>4148</v>
      </c>
    </row>
    <row r="4101" ht="14.25" customHeight="1">
      <c r="G4101" s="3" t="s">
        <v>4149</v>
      </c>
    </row>
    <row r="4102" ht="14.25" customHeight="1">
      <c r="G4102" s="3" t="s">
        <v>4150</v>
      </c>
    </row>
    <row r="4103" ht="14.25" customHeight="1">
      <c r="G4103" s="3" t="s">
        <v>4151</v>
      </c>
    </row>
    <row r="4104" ht="14.25" customHeight="1">
      <c r="G4104" s="3" t="s">
        <v>4152</v>
      </c>
    </row>
    <row r="4105" ht="14.25" customHeight="1">
      <c r="G4105" s="3" t="s">
        <v>4153</v>
      </c>
    </row>
    <row r="4106" ht="14.25" customHeight="1">
      <c r="G4106" s="3" t="s">
        <v>4154</v>
      </c>
    </row>
    <row r="4107" ht="14.25" customHeight="1">
      <c r="G4107" s="3" t="s">
        <v>4155</v>
      </c>
    </row>
    <row r="4108" ht="14.25" customHeight="1">
      <c r="G4108" s="3" t="s">
        <v>4156</v>
      </c>
    </row>
    <row r="4109" ht="14.25" customHeight="1">
      <c r="G4109" s="3" t="s">
        <v>4157</v>
      </c>
    </row>
    <row r="4110" ht="14.25" customHeight="1">
      <c r="G4110" s="3" t="s">
        <v>4158</v>
      </c>
    </row>
    <row r="4111" ht="14.25" customHeight="1">
      <c r="G4111" s="3" t="s">
        <v>4159</v>
      </c>
    </row>
    <row r="4112" ht="14.25" customHeight="1">
      <c r="G4112" s="3" t="s">
        <v>4160</v>
      </c>
    </row>
    <row r="4113" ht="14.25" customHeight="1">
      <c r="G4113" s="3" t="s">
        <v>4161</v>
      </c>
    </row>
    <row r="4114" ht="14.25" customHeight="1">
      <c r="G4114" s="3" t="s">
        <v>4162</v>
      </c>
    </row>
    <row r="4115" ht="14.25" customHeight="1">
      <c r="G4115" s="3" t="s">
        <v>4163</v>
      </c>
    </row>
    <row r="4116" ht="14.25" customHeight="1">
      <c r="G4116" s="3" t="s">
        <v>4164</v>
      </c>
    </row>
    <row r="4117" ht="14.25" customHeight="1">
      <c r="G4117" s="3" t="s">
        <v>4165</v>
      </c>
    </row>
    <row r="4118" ht="14.25" customHeight="1">
      <c r="G4118" s="3" t="s">
        <v>4166</v>
      </c>
    </row>
    <row r="4119" ht="14.25" customHeight="1">
      <c r="G4119" s="3" t="s">
        <v>4167</v>
      </c>
    </row>
    <row r="4120" ht="14.25" customHeight="1">
      <c r="G4120" s="3" t="s">
        <v>4168</v>
      </c>
    </row>
    <row r="4121" ht="14.25" customHeight="1">
      <c r="G4121" s="3" t="s">
        <v>4169</v>
      </c>
    </row>
    <row r="4122" ht="14.25" customHeight="1">
      <c r="G4122" s="3" t="s">
        <v>4170</v>
      </c>
    </row>
    <row r="4123" ht="14.25" customHeight="1">
      <c r="G4123" s="3" t="s">
        <v>4171</v>
      </c>
    </row>
    <row r="4124" ht="14.25" customHeight="1">
      <c r="G4124" s="3" t="s">
        <v>4172</v>
      </c>
    </row>
    <row r="4125" ht="14.25" customHeight="1">
      <c r="G4125" s="3" t="s">
        <v>4173</v>
      </c>
    </row>
    <row r="4126" ht="14.25" customHeight="1">
      <c r="G4126" s="3" t="s">
        <v>4174</v>
      </c>
    </row>
    <row r="4127" ht="14.25" customHeight="1">
      <c r="G4127" s="3" t="s">
        <v>4175</v>
      </c>
    </row>
    <row r="4128" ht="14.25" customHeight="1">
      <c r="G4128" s="3" t="s">
        <v>4176</v>
      </c>
    </row>
    <row r="4129" ht="14.25" customHeight="1">
      <c r="G4129" s="3" t="s">
        <v>4177</v>
      </c>
    </row>
    <row r="4130" ht="14.25" customHeight="1">
      <c r="G4130" s="3" t="s">
        <v>4178</v>
      </c>
    </row>
    <row r="4131" ht="14.25" customHeight="1">
      <c r="G4131" s="3" t="s">
        <v>4179</v>
      </c>
    </row>
    <row r="4132" ht="14.25" customHeight="1">
      <c r="G4132" s="3" t="s">
        <v>4180</v>
      </c>
    </row>
    <row r="4133" ht="14.25" customHeight="1">
      <c r="G4133" s="3" t="s">
        <v>4181</v>
      </c>
    </row>
    <row r="4134" ht="14.25" customHeight="1">
      <c r="G4134" s="3" t="s">
        <v>4182</v>
      </c>
    </row>
    <row r="4135" ht="14.25" customHeight="1">
      <c r="G4135" s="3" t="s">
        <v>4183</v>
      </c>
    </row>
    <row r="4136" ht="14.25" customHeight="1">
      <c r="G4136" s="3" t="s">
        <v>4184</v>
      </c>
    </row>
    <row r="4137" ht="14.25" customHeight="1">
      <c r="G4137" s="3" t="s">
        <v>4185</v>
      </c>
    </row>
    <row r="4138" ht="14.25" customHeight="1">
      <c r="G4138" s="3" t="s">
        <v>4186</v>
      </c>
    </row>
    <row r="4139" ht="14.25" customHeight="1">
      <c r="G4139" s="3" t="s">
        <v>4187</v>
      </c>
    </row>
    <row r="4140" ht="14.25" customHeight="1">
      <c r="G4140" s="3" t="s">
        <v>4188</v>
      </c>
    </row>
    <row r="4141" ht="14.25" customHeight="1">
      <c r="G4141" s="3" t="s">
        <v>4189</v>
      </c>
    </row>
    <row r="4142" ht="14.25" customHeight="1">
      <c r="G4142" s="3" t="s">
        <v>4190</v>
      </c>
    </row>
    <row r="4143" ht="14.25" customHeight="1">
      <c r="G4143" s="3" t="s">
        <v>4191</v>
      </c>
    </row>
    <row r="4144" ht="14.25" customHeight="1">
      <c r="G4144" s="3" t="s">
        <v>4192</v>
      </c>
    </row>
    <row r="4145" ht="14.25" customHeight="1">
      <c r="G4145" s="3" t="s">
        <v>4193</v>
      </c>
    </row>
    <row r="4146" ht="14.25" customHeight="1">
      <c r="G4146" s="3" t="s">
        <v>4194</v>
      </c>
    </row>
    <row r="4147" ht="14.25" customHeight="1">
      <c r="G4147" s="3" t="s">
        <v>4195</v>
      </c>
    </row>
    <row r="4148" ht="14.25" customHeight="1">
      <c r="G4148" s="3" t="s">
        <v>4196</v>
      </c>
    </row>
    <row r="4149" ht="14.25" customHeight="1">
      <c r="G4149" s="3" t="s">
        <v>4197</v>
      </c>
    </row>
    <row r="4150" ht="14.25" customHeight="1">
      <c r="G4150" s="3" t="s">
        <v>4198</v>
      </c>
    </row>
    <row r="4151" ht="14.25" customHeight="1">
      <c r="G4151" s="3" t="s">
        <v>4199</v>
      </c>
    </row>
    <row r="4152" ht="14.25" customHeight="1">
      <c r="G4152" s="3" t="s">
        <v>4200</v>
      </c>
    </row>
    <row r="4153" ht="14.25" customHeight="1">
      <c r="G4153" s="3" t="s">
        <v>4201</v>
      </c>
    </row>
    <row r="4154" ht="14.25" customHeight="1">
      <c r="G4154" s="3" t="s">
        <v>4202</v>
      </c>
    </row>
    <row r="4155" ht="14.25" customHeight="1">
      <c r="G4155" s="3" t="s">
        <v>4203</v>
      </c>
    </row>
    <row r="4156" ht="14.25" customHeight="1">
      <c r="G4156" s="3" t="s">
        <v>4204</v>
      </c>
    </row>
    <row r="4157" ht="14.25" customHeight="1">
      <c r="G4157" s="3" t="s">
        <v>4205</v>
      </c>
    </row>
    <row r="4158" ht="14.25" customHeight="1">
      <c r="G4158" s="3" t="s">
        <v>4206</v>
      </c>
    </row>
    <row r="4159" ht="14.25" customHeight="1">
      <c r="G4159" s="3" t="s">
        <v>4207</v>
      </c>
    </row>
    <row r="4160" ht="14.25" customHeight="1">
      <c r="G4160" s="3" t="s">
        <v>4208</v>
      </c>
    </row>
    <row r="4161" ht="14.25" customHeight="1">
      <c r="G4161" s="3" t="s">
        <v>4209</v>
      </c>
    </row>
    <row r="4162" ht="14.25" customHeight="1">
      <c r="G4162" s="3" t="s">
        <v>4210</v>
      </c>
    </row>
    <row r="4163" ht="14.25" customHeight="1">
      <c r="G4163" s="3" t="s">
        <v>4211</v>
      </c>
    </row>
    <row r="4164" ht="14.25" customHeight="1">
      <c r="G4164" s="3" t="s">
        <v>4212</v>
      </c>
    </row>
    <row r="4165" ht="14.25" customHeight="1">
      <c r="G4165" s="3" t="s">
        <v>4213</v>
      </c>
    </row>
    <row r="4166" ht="14.25" customHeight="1">
      <c r="G4166" s="3" t="s">
        <v>4214</v>
      </c>
    </row>
    <row r="4167" ht="14.25" customHeight="1">
      <c r="G4167" s="3" t="s">
        <v>4215</v>
      </c>
    </row>
    <row r="4168" ht="14.25" customHeight="1">
      <c r="G4168" s="3" t="s">
        <v>4216</v>
      </c>
    </row>
    <row r="4169" ht="14.25" customHeight="1">
      <c r="G4169" s="3" t="s">
        <v>4217</v>
      </c>
    </row>
    <row r="4170" ht="14.25" customHeight="1">
      <c r="G4170" s="3" t="s">
        <v>4218</v>
      </c>
    </row>
    <row r="4171" ht="14.25" customHeight="1">
      <c r="G4171" s="3" t="s">
        <v>4219</v>
      </c>
    </row>
    <row r="4172" ht="14.25" customHeight="1">
      <c r="G4172" s="3" t="s">
        <v>4220</v>
      </c>
    </row>
    <row r="4173" ht="14.25" customHeight="1">
      <c r="G4173" s="3" t="s">
        <v>4221</v>
      </c>
    </row>
    <row r="4174" ht="14.25" customHeight="1">
      <c r="G4174" s="3" t="s">
        <v>4222</v>
      </c>
    </row>
    <row r="4175" ht="14.25" customHeight="1">
      <c r="G4175" s="3" t="s">
        <v>4223</v>
      </c>
    </row>
    <row r="4176" ht="14.25" customHeight="1">
      <c r="G4176" s="3" t="s">
        <v>4224</v>
      </c>
    </row>
    <row r="4177" ht="14.25" customHeight="1">
      <c r="G4177" s="3" t="s">
        <v>4225</v>
      </c>
    </row>
    <row r="4178" ht="14.25" customHeight="1">
      <c r="G4178" s="3" t="s">
        <v>4226</v>
      </c>
    </row>
    <row r="4179" ht="14.25" customHeight="1">
      <c r="G4179" s="3" t="s">
        <v>4227</v>
      </c>
    </row>
    <row r="4180" ht="14.25" customHeight="1">
      <c r="G4180" s="3" t="s">
        <v>4228</v>
      </c>
    </row>
    <row r="4181" ht="14.25" customHeight="1">
      <c r="G4181" s="3" t="s">
        <v>4229</v>
      </c>
    </row>
    <row r="4182" ht="14.25" customHeight="1">
      <c r="G4182" s="3" t="s">
        <v>4230</v>
      </c>
    </row>
    <row r="4183" ht="14.25" customHeight="1">
      <c r="G4183" s="3" t="s">
        <v>4231</v>
      </c>
    </row>
    <row r="4184" ht="14.25" customHeight="1">
      <c r="G4184" s="3" t="s">
        <v>4232</v>
      </c>
    </row>
    <row r="4185" ht="14.25" customHeight="1">
      <c r="G4185" s="3" t="s">
        <v>4233</v>
      </c>
    </row>
    <row r="4186" ht="14.25" customHeight="1">
      <c r="G4186" s="3" t="s">
        <v>4234</v>
      </c>
    </row>
    <row r="4187" ht="14.25" customHeight="1">
      <c r="G4187" s="3" t="s">
        <v>4235</v>
      </c>
    </row>
    <row r="4188" ht="14.25" customHeight="1">
      <c r="G4188" s="3" t="s">
        <v>4236</v>
      </c>
    </row>
    <row r="4189" ht="14.25" customHeight="1">
      <c r="G4189" s="3" t="s">
        <v>4237</v>
      </c>
    </row>
    <row r="4190" ht="14.25" customHeight="1">
      <c r="G4190" s="3" t="s">
        <v>4238</v>
      </c>
    </row>
    <row r="4191" ht="14.25" customHeight="1">
      <c r="G4191" s="3" t="s">
        <v>4239</v>
      </c>
    </row>
    <row r="4192" ht="14.25" customHeight="1">
      <c r="G4192" s="3" t="s">
        <v>4240</v>
      </c>
    </row>
    <row r="4193" ht="14.25" customHeight="1">
      <c r="G4193" s="3" t="s">
        <v>4241</v>
      </c>
    </row>
    <row r="4194" ht="14.25" customHeight="1">
      <c r="G4194" s="3" t="s">
        <v>4242</v>
      </c>
    </row>
    <row r="4195" ht="14.25" customHeight="1">
      <c r="G4195" s="3" t="s">
        <v>4243</v>
      </c>
    </row>
    <row r="4196" ht="14.25" customHeight="1">
      <c r="G4196" s="3" t="s">
        <v>4244</v>
      </c>
    </row>
    <row r="4197" ht="14.25" customHeight="1">
      <c r="G4197" s="3" t="s">
        <v>4245</v>
      </c>
    </row>
    <row r="4198" ht="14.25" customHeight="1">
      <c r="G4198" s="3" t="s">
        <v>4246</v>
      </c>
    </row>
    <row r="4199" ht="14.25" customHeight="1">
      <c r="G4199" s="3" t="s">
        <v>4247</v>
      </c>
    </row>
    <row r="4200" ht="14.25" customHeight="1">
      <c r="G4200" s="3" t="s">
        <v>4248</v>
      </c>
    </row>
    <row r="4201" ht="14.25" customHeight="1">
      <c r="G4201" s="3" t="s">
        <v>4249</v>
      </c>
    </row>
    <row r="4202" ht="14.25" customHeight="1">
      <c r="G4202" s="3" t="s">
        <v>4250</v>
      </c>
    </row>
    <row r="4203" ht="14.25" customHeight="1">
      <c r="G4203" s="3" t="s">
        <v>4251</v>
      </c>
    </row>
    <row r="4204" ht="14.25" customHeight="1">
      <c r="G4204" s="3" t="s">
        <v>4252</v>
      </c>
    </row>
    <row r="4205" ht="14.25" customHeight="1">
      <c r="G4205" s="3" t="s">
        <v>4253</v>
      </c>
    </row>
    <row r="4206" ht="14.25" customHeight="1">
      <c r="G4206" s="3" t="s">
        <v>4254</v>
      </c>
    </row>
    <row r="4207" ht="14.25" customHeight="1">
      <c r="G4207" s="3" t="s">
        <v>4255</v>
      </c>
    </row>
    <row r="4208" ht="14.25" customHeight="1">
      <c r="G4208" s="3" t="s">
        <v>4256</v>
      </c>
    </row>
    <row r="4209" ht="14.25" customHeight="1">
      <c r="G4209" s="3" t="s">
        <v>4257</v>
      </c>
    </row>
    <row r="4210" ht="14.25" customHeight="1">
      <c r="G4210" s="3" t="s">
        <v>4258</v>
      </c>
    </row>
    <row r="4211" ht="14.25" customHeight="1">
      <c r="G4211" s="3" t="s">
        <v>4259</v>
      </c>
    </row>
    <row r="4212" ht="14.25" customHeight="1">
      <c r="G4212" s="3" t="s">
        <v>4260</v>
      </c>
    </row>
    <row r="4213" ht="14.25" customHeight="1">
      <c r="G4213" s="3" t="s">
        <v>4261</v>
      </c>
    </row>
    <row r="4214" ht="14.25" customHeight="1">
      <c r="G4214" s="3" t="s">
        <v>4262</v>
      </c>
    </row>
    <row r="4215" ht="14.25" customHeight="1">
      <c r="G4215" s="3" t="s">
        <v>4263</v>
      </c>
    </row>
    <row r="4216" ht="14.25" customHeight="1">
      <c r="G4216" s="3" t="s">
        <v>4264</v>
      </c>
    </row>
    <row r="4217" ht="14.25" customHeight="1">
      <c r="G4217" s="3" t="s">
        <v>4265</v>
      </c>
    </row>
    <row r="4218" ht="14.25" customHeight="1">
      <c r="G4218" s="3" t="s">
        <v>4266</v>
      </c>
    </row>
    <row r="4219" ht="14.25" customHeight="1">
      <c r="G4219" s="3" t="s">
        <v>4267</v>
      </c>
    </row>
    <row r="4220" ht="14.25" customHeight="1">
      <c r="G4220" s="3" t="s">
        <v>4268</v>
      </c>
    </row>
    <row r="4221" ht="14.25" customHeight="1">
      <c r="G4221" s="3" t="s">
        <v>4269</v>
      </c>
    </row>
    <row r="4222" ht="14.25" customHeight="1">
      <c r="G4222" s="3" t="s">
        <v>4270</v>
      </c>
    </row>
    <row r="4223" ht="14.25" customHeight="1">
      <c r="G4223" s="3" t="s">
        <v>4271</v>
      </c>
    </row>
    <row r="4224" ht="14.25" customHeight="1">
      <c r="G4224" s="3" t="s">
        <v>4272</v>
      </c>
    </row>
    <row r="4225" ht="14.25" customHeight="1">
      <c r="G4225" s="3" t="s">
        <v>4273</v>
      </c>
    </row>
    <row r="4226" ht="14.25" customHeight="1">
      <c r="G4226" s="3" t="s">
        <v>4274</v>
      </c>
    </row>
    <row r="4227" ht="14.25" customHeight="1">
      <c r="G4227" s="3" t="s">
        <v>4275</v>
      </c>
    </row>
    <row r="4228" ht="14.25" customHeight="1">
      <c r="G4228" s="3" t="s">
        <v>4276</v>
      </c>
    </row>
    <row r="4229" ht="14.25" customHeight="1">
      <c r="G4229" s="3" t="s">
        <v>4277</v>
      </c>
    </row>
    <row r="4230" ht="14.25" customHeight="1">
      <c r="G4230" s="3" t="s">
        <v>4278</v>
      </c>
    </row>
    <row r="4231" ht="14.25" customHeight="1">
      <c r="G4231" s="3" t="s">
        <v>4279</v>
      </c>
    </row>
    <row r="4232" ht="14.25" customHeight="1">
      <c r="G4232" s="3" t="s">
        <v>4280</v>
      </c>
    </row>
    <row r="4233" ht="14.25" customHeight="1">
      <c r="G4233" s="3" t="s">
        <v>4281</v>
      </c>
    </row>
    <row r="4234" ht="14.25" customHeight="1">
      <c r="G4234" s="3" t="s">
        <v>4282</v>
      </c>
    </row>
    <row r="4235" ht="14.25" customHeight="1">
      <c r="G4235" s="3" t="s">
        <v>4283</v>
      </c>
    </row>
    <row r="4236" ht="14.25" customHeight="1">
      <c r="G4236" s="3" t="s">
        <v>4284</v>
      </c>
    </row>
    <row r="4237" ht="14.25" customHeight="1">
      <c r="G4237" s="3" t="s">
        <v>4285</v>
      </c>
    </row>
    <row r="4238" ht="14.25" customHeight="1">
      <c r="G4238" s="3" t="s">
        <v>4286</v>
      </c>
    </row>
    <row r="4239" ht="14.25" customHeight="1">
      <c r="G4239" s="3" t="s">
        <v>4287</v>
      </c>
    </row>
    <row r="4240" ht="14.25" customHeight="1">
      <c r="G4240" s="3" t="s">
        <v>4288</v>
      </c>
    </row>
    <row r="4241" ht="14.25" customHeight="1">
      <c r="G4241" s="3" t="s">
        <v>4289</v>
      </c>
    </row>
    <row r="4242" ht="14.25" customHeight="1">
      <c r="G4242" s="3" t="s">
        <v>4290</v>
      </c>
    </row>
    <row r="4243" ht="14.25" customHeight="1">
      <c r="G4243" s="3" t="s">
        <v>4291</v>
      </c>
    </row>
    <row r="4244" ht="14.25" customHeight="1">
      <c r="G4244" s="3" t="s">
        <v>4292</v>
      </c>
    </row>
    <row r="4245" ht="14.25" customHeight="1">
      <c r="G4245" s="3" t="s">
        <v>4293</v>
      </c>
    </row>
    <row r="4246" ht="14.25" customHeight="1">
      <c r="G4246" s="3" t="s">
        <v>4294</v>
      </c>
    </row>
    <row r="4247" ht="14.25" customHeight="1">
      <c r="G4247" s="3" t="s">
        <v>4295</v>
      </c>
    </row>
    <row r="4248" ht="14.25" customHeight="1">
      <c r="G4248" s="3" t="s">
        <v>4296</v>
      </c>
    </row>
    <row r="4249" ht="14.25" customHeight="1">
      <c r="G4249" s="3" t="s">
        <v>4297</v>
      </c>
    </row>
    <row r="4250" ht="14.25" customHeight="1">
      <c r="G4250" s="3" t="s">
        <v>4298</v>
      </c>
    </row>
    <row r="4251" ht="14.25" customHeight="1">
      <c r="G4251" s="3" t="s">
        <v>4299</v>
      </c>
    </row>
    <row r="4252" ht="14.25" customHeight="1">
      <c r="G4252" s="3" t="s">
        <v>4300</v>
      </c>
    </row>
    <row r="4253" ht="14.25" customHeight="1">
      <c r="G4253" s="3" t="s">
        <v>4301</v>
      </c>
    </row>
    <row r="4254" ht="14.25" customHeight="1">
      <c r="G4254" s="3" t="s">
        <v>4302</v>
      </c>
    </row>
    <row r="4255" ht="14.25" customHeight="1">
      <c r="G4255" s="3" t="s">
        <v>4303</v>
      </c>
    </row>
    <row r="4256" ht="14.25" customHeight="1">
      <c r="G4256" s="3" t="s">
        <v>4304</v>
      </c>
    </row>
    <row r="4257" ht="14.25" customHeight="1">
      <c r="G4257" s="3" t="s">
        <v>4305</v>
      </c>
    </row>
    <row r="4258" ht="14.25" customHeight="1">
      <c r="G4258" s="3" t="s">
        <v>4306</v>
      </c>
    </row>
    <row r="4259" ht="14.25" customHeight="1">
      <c r="G4259" s="3" t="s">
        <v>4307</v>
      </c>
    </row>
    <row r="4260" ht="14.25" customHeight="1">
      <c r="G4260" s="3" t="s">
        <v>4308</v>
      </c>
    </row>
    <row r="4261" ht="14.25" customHeight="1">
      <c r="G4261" s="3" t="s">
        <v>4309</v>
      </c>
    </row>
    <row r="4262" ht="14.25" customHeight="1">
      <c r="G4262" s="3" t="s">
        <v>4310</v>
      </c>
    </row>
    <row r="4263" ht="14.25" customHeight="1">
      <c r="G4263" s="3" t="s">
        <v>4311</v>
      </c>
    </row>
    <row r="4264" ht="14.25" customHeight="1">
      <c r="G4264" s="3" t="s">
        <v>4312</v>
      </c>
    </row>
    <row r="4265" ht="14.25" customHeight="1">
      <c r="G4265" s="3" t="s">
        <v>4313</v>
      </c>
    </row>
    <row r="4266" ht="14.25" customHeight="1">
      <c r="G4266" s="3" t="s">
        <v>4314</v>
      </c>
    </row>
    <row r="4267" ht="14.25" customHeight="1">
      <c r="G4267" s="3" t="s">
        <v>4315</v>
      </c>
    </row>
    <row r="4268" ht="14.25" customHeight="1">
      <c r="G4268" s="3" t="s">
        <v>4316</v>
      </c>
    </row>
    <row r="4269" ht="14.25" customHeight="1">
      <c r="G4269" s="3" t="s">
        <v>4317</v>
      </c>
    </row>
    <row r="4270" ht="14.25" customHeight="1">
      <c r="G4270" s="3" t="s">
        <v>4318</v>
      </c>
    </row>
    <row r="4271" ht="14.25" customHeight="1">
      <c r="G4271" s="3" t="s">
        <v>4319</v>
      </c>
    </row>
    <row r="4272" ht="14.25" customHeight="1">
      <c r="G4272" s="3" t="s">
        <v>4320</v>
      </c>
    </row>
    <row r="4273" ht="14.25" customHeight="1">
      <c r="G4273" s="3" t="s">
        <v>4321</v>
      </c>
    </row>
    <row r="4274" ht="14.25" customHeight="1">
      <c r="G4274" s="3" t="s">
        <v>4322</v>
      </c>
    </row>
    <row r="4275" ht="14.25" customHeight="1">
      <c r="G4275" s="3" t="s">
        <v>4323</v>
      </c>
    </row>
    <row r="4276" ht="14.25" customHeight="1">
      <c r="G4276" s="3" t="s">
        <v>4324</v>
      </c>
    </row>
    <row r="4277" ht="14.25" customHeight="1">
      <c r="G4277" s="3" t="s">
        <v>4325</v>
      </c>
    </row>
    <row r="4278" ht="14.25" customHeight="1">
      <c r="G4278" s="3" t="s">
        <v>4326</v>
      </c>
    </row>
    <row r="4279" ht="14.25" customHeight="1">
      <c r="G4279" s="3" t="s">
        <v>4327</v>
      </c>
    </row>
    <row r="4280" ht="14.25" customHeight="1">
      <c r="G4280" s="3" t="s">
        <v>4328</v>
      </c>
    </row>
    <row r="4281" ht="14.25" customHeight="1">
      <c r="G4281" s="3" t="s">
        <v>4329</v>
      </c>
    </row>
    <row r="4282" ht="14.25" customHeight="1">
      <c r="G4282" s="3" t="s">
        <v>4330</v>
      </c>
    </row>
    <row r="4283" ht="14.25" customHeight="1">
      <c r="G4283" s="3" t="s">
        <v>4331</v>
      </c>
    </row>
    <row r="4284" ht="14.25" customHeight="1">
      <c r="G4284" s="3" t="s">
        <v>4332</v>
      </c>
    </row>
    <row r="4285" ht="14.25" customHeight="1">
      <c r="G4285" s="3" t="s">
        <v>4333</v>
      </c>
    </row>
    <row r="4286" ht="14.25" customHeight="1">
      <c r="G4286" s="3" t="s">
        <v>4334</v>
      </c>
    </row>
    <row r="4287" ht="14.25" customHeight="1">
      <c r="G4287" s="3" t="s">
        <v>4335</v>
      </c>
    </row>
    <row r="4288" ht="14.25" customHeight="1">
      <c r="G4288" s="3" t="s">
        <v>4336</v>
      </c>
    </row>
    <row r="4289" ht="14.25" customHeight="1">
      <c r="G4289" s="3" t="s">
        <v>4337</v>
      </c>
    </row>
    <row r="4290" ht="14.25" customHeight="1">
      <c r="G4290" s="3" t="s">
        <v>4338</v>
      </c>
    </row>
    <row r="4291" ht="14.25" customHeight="1">
      <c r="G4291" s="3" t="s">
        <v>4339</v>
      </c>
    </row>
    <row r="4292" ht="14.25" customHeight="1">
      <c r="G4292" s="3" t="s">
        <v>4340</v>
      </c>
    </row>
    <row r="4293" ht="14.25" customHeight="1">
      <c r="G4293" s="3" t="s">
        <v>4341</v>
      </c>
    </row>
    <row r="4294" ht="14.25" customHeight="1">
      <c r="G4294" s="3" t="s">
        <v>4342</v>
      </c>
    </row>
    <row r="4295" ht="14.25" customHeight="1">
      <c r="G4295" s="3" t="s">
        <v>4343</v>
      </c>
    </row>
    <row r="4296" ht="14.25" customHeight="1">
      <c r="G4296" s="3" t="s">
        <v>4344</v>
      </c>
    </row>
    <row r="4297" ht="14.25" customHeight="1">
      <c r="G4297" s="3" t="s">
        <v>4345</v>
      </c>
    </row>
    <row r="4298" ht="14.25" customHeight="1">
      <c r="G4298" s="3" t="s">
        <v>4346</v>
      </c>
    </row>
    <row r="4299" ht="14.25" customHeight="1">
      <c r="G4299" s="3" t="s">
        <v>4347</v>
      </c>
    </row>
    <row r="4300" ht="14.25" customHeight="1">
      <c r="G4300" s="3" t="s">
        <v>4348</v>
      </c>
    </row>
    <row r="4301" ht="14.25" customHeight="1">
      <c r="G4301" s="3" t="s">
        <v>4349</v>
      </c>
    </row>
    <row r="4302" ht="14.25" customHeight="1">
      <c r="G4302" s="3" t="s">
        <v>4350</v>
      </c>
    </row>
    <row r="4303" ht="14.25" customHeight="1">
      <c r="G4303" s="3" t="s">
        <v>4351</v>
      </c>
    </row>
    <row r="4304" ht="14.25" customHeight="1">
      <c r="G4304" s="3" t="s">
        <v>4352</v>
      </c>
    </row>
    <row r="4305" ht="14.25" customHeight="1">
      <c r="G4305" s="3" t="s">
        <v>4353</v>
      </c>
    </row>
    <row r="4306" ht="14.25" customHeight="1">
      <c r="G4306" s="3" t="s">
        <v>4354</v>
      </c>
    </row>
    <row r="4307" ht="14.25" customHeight="1">
      <c r="G4307" s="3" t="s">
        <v>4355</v>
      </c>
    </row>
    <row r="4308" ht="14.25" customHeight="1">
      <c r="G4308" s="3" t="s">
        <v>4356</v>
      </c>
    </row>
    <row r="4309" ht="14.25" customHeight="1">
      <c r="G4309" s="3" t="s">
        <v>4357</v>
      </c>
    </row>
    <row r="4310" ht="14.25" customHeight="1">
      <c r="G4310" s="3" t="s">
        <v>4358</v>
      </c>
    </row>
    <row r="4311" ht="14.25" customHeight="1">
      <c r="G4311" s="3" t="s">
        <v>4359</v>
      </c>
    </row>
    <row r="4312" ht="14.25" customHeight="1">
      <c r="G4312" s="3" t="s">
        <v>4360</v>
      </c>
    </row>
    <row r="4313" ht="14.25" customHeight="1">
      <c r="G4313" s="3" t="s">
        <v>4361</v>
      </c>
    </row>
    <row r="4314" ht="14.25" customHeight="1">
      <c r="G4314" s="3" t="s">
        <v>4362</v>
      </c>
    </row>
    <row r="4315" ht="14.25" customHeight="1">
      <c r="G4315" s="3" t="s">
        <v>4363</v>
      </c>
    </row>
    <row r="4316" ht="14.25" customHeight="1">
      <c r="G4316" s="3" t="s">
        <v>4364</v>
      </c>
    </row>
    <row r="4317" ht="14.25" customHeight="1">
      <c r="G4317" s="3" t="s">
        <v>4365</v>
      </c>
    </row>
    <row r="4318" ht="14.25" customHeight="1">
      <c r="G4318" s="3" t="s">
        <v>4366</v>
      </c>
    </row>
    <row r="4319" ht="14.25" customHeight="1">
      <c r="G4319" s="3" t="s">
        <v>4367</v>
      </c>
    </row>
    <row r="4320" ht="14.25" customHeight="1">
      <c r="G4320" s="3" t="s">
        <v>4368</v>
      </c>
    </row>
    <row r="4321" ht="14.25" customHeight="1">
      <c r="G4321" s="3" t="s">
        <v>4369</v>
      </c>
    </row>
    <row r="4322" ht="14.25" customHeight="1">
      <c r="G4322" s="3" t="s">
        <v>4370</v>
      </c>
    </row>
    <row r="4323" ht="14.25" customHeight="1">
      <c r="G4323" s="3" t="s">
        <v>4371</v>
      </c>
    </row>
    <row r="4324" ht="14.25" customHeight="1">
      <c r="G4324" s="3" t="s">
        <v>4372</v>
      </c>
    </row>
    <row r="4325" ht="14.25" customHeight="1">
      <c r="G4325" s="3" t="s">
        <v>4373</v>
      </c>
    </row>
    <row r="4326" ht="14.25" customHeight="1">
      <c r="G4326" s="3" t="s">
        <v>4374</v>
      </c>
    </row>
    <row r="4327" ht="14.25" customHeight="1">
      <c r="G4327" s="3" t="s">
        <v>4375</v>
      </c>
    </row>
    <row r="4328" ht="14.25" customHeight="1">
      <c r="G4328" s="3" t="s">
        <v>4376</v>
      </c>
    </row>
    <row r="4329" ht="14.25" customHeight="1">
      <c r="G4329" s="3" t="s">
        <v>4377</v>
      </c>
    </row>
    <row r="4330" ht="14.25" customHeight="1">
      <c r="G4330" s="3" t="s">
        <v>4378</v>
      </c>
    </row>
    <row r="4331" ht="14.25" customHeight="1">
      <c r="G4331" s="3" t="s">
        <v>4379</v>
      </c>
    </row>
    <row r="4332" ht="14.25" customHeight="1">
      <c r="G4332" s="3" t="s">
        <v>4380</v>
      </c>
    </row>
    <row r="4333" ht="14.25" customHeight="1">
      <c r="G4333" s="3" t="s">
        <v>4381</v>
      </c>
    </row>
    <row r="4334" ht="14.25" customHeight="1">
      <c r="G4334" s="3" t="s">
        <v>4382</v>
      </c>
    </row>
    <row r="4335" ht="14.25" customHeight="1">
      <c r="G4335" s="3" t="s">
        <v>4383</v>
      </c>
    </row>
    <row r="4336" ht="14.25" customHeight="1">
      <c r="G4336" s="3" t="s">
        <v>4384</v>
      </c>
    </row>
    <row r="4337" ht="14.25" customHeight="1">
      <c r="G4337" s="3" t="s">
        <v>4385</v>
      </c>
    </row>
    <row r="4338" ht="14.25" customHeight="1">
      <c r="G4338" s="3" t="s">
        <v>4386</v>
      </c>
    </row>
    <row r="4339" ht="14.25" customHeight="1">
      <c r="G4339" s="3" t="s">
        <v>4387</v>
      </c>
    </row>
    <row r="4340" ht="14.25" customHeight="1">
      <c r="G4340" s="3" t="s">
        <v>4388</v>
      </c>
    </row>
    <row r="4341" ht="14.25" customHeight="1">
      <c r="G4341" s="3" t="s">
        <v>4389</v>
      </c>
    </row>
    <row r="4342" ht="14.25" customHeight="1">
      <c r="G4342" s="3" t="s">
        <v>4390</v>
      </c>
    </row>
    <row r="4343" ht="14.25" customHeight="1">
      <c r="G4343" s="3" t="s">
        <v>4391</v>
      </c>
    </row>
    <row r="4344" ht="14.25" customHeight="1">
      <c r="G4344" s="3" t="s">
        <v>4392</v>
      </c>
    </row>
    <row r="4345" ht="14.25" customHeight="1">
      <c r="G4345" s="3" t="s">
        <v>4393</v>
      </c>
    </row>
    <row r="4346" ht="14.25" customHeight="1">
      <c r="G4346" s="3" t="s">
        <v>4394</v>
      </c>
    </row>
    <row r="4347" ht="14.25" customHeight="1">
      <c r="G4347" s="3" t="s">
        <v>4395</v>
      </c>
    </row>
    <row r="4348" ht="14.25" customHeight="1">
      <c r="G4348" s="3" t="s">
        <v>4396</v>
      </c>
    </row>
    <row r="4349" ht="14.25" customHeight="1">
      <c r="G4349" s="3" t="s">
        <v>4397</v>
      </c>
    </row>
    <row r="4350" ht="14.25" customHeight="1">
      <c r="G4350" s="3" t="s">
        <v>4398</v>
      </c>
    </row>
    <row r="4351" ht="14.25" customHeight="1">
      <c r="G4351" s="3" t="s">
        <v>4399</v>
      </c>
    </row>
    <row r="4352" ht="14.25" customHeight="1">
      <c r="G4352" s="3" t="s">
        <v>4400</v>
      </c>
    </row>
    <row r="4353" ht="14.25" customHeight="1">
      <c r="G4353" s="3" t="s">
        <v>4401</v>
      </c>
    </row>
    <row r="4354" ht="14.25" customHeight="1">
      <c r="G4354" s="3" t="s">
        <v>4402</v>
      </c>
    </row>
    <row r="4355" ht="14.25" customHeight="1">
      <c r="G4355" s="3" t="s">
        <v>4403</v>
      </c>
    </row>
    <row r="4356" ht="14.25" customHeight="1">
      <c r="G4356" s="3" t="s">
        <v>4404</v>
      </c>
    </row>
    <row r="4357" ht="14.25" customHeight="1">
      <c r="G4357" s="3" t="s">
        <v>4405</v>
      </c>
    </row>
    <row r="4358" ht="14.25" customHeight="1">
      <c r="G4358" s="3" t="s">
        <v>4406</v>
      </c>
    </row>
    <row r="4359" ht="14.25" customHeight="1">
      <c r="G4359" s="3" t="s">
        <v>4407</v>
      </c>
    </row>
    <row r="4360" ht="14.25" customHeight="1">
      <c r="G4360" s="3" t="s">
        <v>4408</v>
      </c>
    </row>
    <row r="4361" ht="14.25" customHeight="1">
      <c r="G4361" s="3" t="s">
        <v>4409</v>
      </c>
    </row>
    <row r="4362" ht="14.25" customHeight="1">
      <c r="G4362" s="3" t="s">
        <v>4410</v>
      </c>
    </row>
    <row r="4363" ht="14.25" customHeight="1">
      <c r="G4363" s="3" t="s">
        <v>4411</v>
      </c>
    </row>
    <row r="4364" ht="14.25" customHeight="1">
      <c r="G4364" s="3" t="s">
        <v>4412</v>
      </c>
    </row>
    <row r="4365" ht="14.25" customHeight="1">
      <c r="G4365" s="3" t="s">
        <v>4413</v>
      </c>
    </row>
    <row r="4366" ht="14.25" customHeight="1">
      <c r="G4366" s="3" t="s">
        <v>4414</v>
      </c>
    </row>
    <row r="4367" ht="14.25" customHeight="1">
      <c r="G4367" s="3" t="s">
        <v>4415</v>
      </c>
    </row>
    <row r="4368" ht="14.25" customHeight="1">
      <c r="G4368" s="3" t="s">
        <v>4416</v>
      </c>
    </row>
    <row r="4369" ht="14.25" customHeight="1">
      <c r="G4369" s="3" t="s">
        <v>4417</v>
      </c>
    </row>
    <row r="4370" ht="14.25" customHeight="1">
      <c r="G4370" s="3" t="s">
        <v>4418</v>
      </c>
    </row>
    <row r="4371" ht="14.25" customHeight="1">
      <c r="G4371" s="3" t="s">
        <v>4419</v>
      </c>
    </row>
    <row r="4372" ht="14.25" customHeight="1">
      <c r="G4372" s="3" t="s">
        <v>4420</v>
      </c>
    </row>
    <row r="4373" ht="14.25" customHeight="1">
      <c r="G4373" s="3" t="s">
        <v>4421</v>
      </c>
    </row>
    <row r="4374" ht="14.25" customHeight="1">
      <c r="G4374" s="3" t="s">
        <v>4422</v>
      </c>
    </row>
    <row r="4375" ht="14.25" customHeight="1">
      <c r="G4375" s="3" t="s">
        <v>4423</v>
      </c>
    </row>
    <row r="4376" ht="14.25" customHeight="1">
      <c r="G4376" s="3" t="s">
        <v>4424</v>
      </c>
    </row>
    <row r="4377" ht="14.25" customHeight="1">
      <c r="G4377" s="3" t="s">
        <v>4425</v>
      </c>
    </row>
    <row r="4378" ht="14.25" customHeight="1">
      <c r="G4378" s="3" t="s">
        <v>4426</v>
      </c>
    </row>
    <row r="4379" ht="14.25" customHeight="1">
      <c r="G4379" s="3" t="s">
        <v>4427</v>
      </c>
    </row>
    <row r="4380" ht="14.25" customHeight="1">
      <c r="G4380" s="3" t="s">
        <v>4428</v>
      </c>
    </row>
    <row r="4381" ht="14.25" customHeight="1">
      <c r="G4381" s="3" t="s">
        <v>4429</v>
      </c>
    </row>
    <row r="4382" ht="14.25" customHeight="1">
      <c r="G4382" s="3" t="s">
        <v>4430</v>
      </c>
    </row>
    <row r="4383" ht="14.25" customHeight="1">
      <c r="G4383" s="3" t="s">
        <v>4431</v>
      </c>
    </row>
    <row r="4384" ht="14.25" customHeight="1">
      <c r="G4384" s="3" t="s">
        <v>4432</v>
      </c>
    </row>
    <row r="4385" ht="14.25" customHeight="1">
      <c r="G4385" s="3" t="s">
        <v>4433</v>
      </c>
    </row>
    <row r="4386" ht="14.25" customHeight="1">
      <c r="G4386" s="3" t="s">
        <v>4434</v>
      </c>
    </row>
    <row r="4387" ht="14.25" customHeight="1">
      <c r="G4387" s="3" t="s">
        <v>4435</v>
      </c>
    </row>
    <row r="4388" ht="14.25" customHeight="1">
      <c r="G4388" s="3" t="s">
        <v>4436</v>
      </c>
    </row>
    <row r="4389" ht="14.25" customHeight="1">
      <c r="G4389" s="3" t="s">
        <v>4437</v>
      </c>
    </row>
    <row r="4390" ht="14.25" customHeight="1">
      <c r="G4390" s="3" t="s">
        <v>4438</v>
      </c>
    </row>
    <row r="4391" ht="14.25" customHeight="1">
      <c r="G4391" s="3" t="s">
        <v>4439</v>
      </c>
    </row>
    <row r="4392" ht="14.25" customHeight="1">
      <c r="G4392" s="3" t="s">
        <v>4440</v>
      </c>
    </row>
    <row r="4393" ht="14.25" customHeight="1">
      <c r="G4393" s="3" t="s">
        <v>4441</v>
      </c>
    </row>
    <row r="4394" ht="14.25" customHeight="1">
      <c r="G4394" s="3" t="s">
        <v>4442</v>
      </c>
    </row>
    <row r="4395" ht="14.25" customHeight="1">
      <c r="G4395" s="3" t="s">
        <v>4443</v>
      </c>
    </row>
    <row r="4396" ht="14.25" customHeight="1">
      <c r="G4396" s="3" t="s">
        <v>4444</v>
      </c>
    </row>
    <row r="4397" ht="14.25" customHeight="1">
      <c r="G4397" s="3" t="s">
        <v>4445</v>
      </c>
    </row>
    <row r="4398" ht="14.25" customHeight="1">
      <c r="G4398" s="3" t="s">
        <v>4446</v>
      </c>
    </row>
    <row r="4399" ht="14.25" customHeight="1">
      <c r="G4399" s="3" t="s">
        <v>4447</v>
      </c>
    </row>
    <row r="4400" ht="14.25" customHeight="1">
      <c r="G4400" s="3" t="s">
        <v>4448</v>
      </c>
    </row>
    <row r="4401" ht="14.25" customHeight="1">
      <c r="G4401" s="3" t="s">
        <v>4449</v>
      </c>
    </row>
    <row r="4402" ht="14.25" customHeight="1">
      <c r="G4402" s="3" t="s">
        <v>4450</v>
      </c>
    </row>
    <row r="4403" ht="14.25" customHeight="1">
      <c r="G4403" s="3" t="s">
        <v>4451</v>
      </c>
    </row>
    <row r="4404" ht="14.25" customHeight="1">
      <c r="G4404" s="3" t="s">
        <v>4452</v>
      </c>
    </row>
    <row r="4405" ht="14.25" customHeight="1">
      <c r="G4405" s="3" t="s">
        <v>4453</v>
      </c>
    </row>
    <row r="4406" ht="14.25" customHeight="1">
      <c r="G4406" s="3" t="s">
        <v>4454</v>
      </c>
    </row>
    <row r="4407" ht="14.25" customHeight="1">
      <c r="G4407" s="3" t="s">
        <v>4455</v>
      </c>
    </row>
    <row r="4408" ht="14.25" customHeight="1">
      <c r="G4408" s="3" t="s">
        <v>4456</v>
      </c>
    </row>
    <row r="4409" ht="14.25" customHeight="1">
      <c r="G4409" s="3" t="s">
        <v>4457</v>
      </c>
    </row>
    <row r="4410" ht="14.25" customHeight="1">
      <c r="G4410" s="3" t="s">
        <v>4458</v>
      </c>
    </row>
    <row r="4411" ht="14.25" customHeight="1">
      <c r="G4411" s="3" t="s">
        <v>4459</v>
      </c>
    </row>
    <row r="4412" ht="14.25" customHeight="1">
      <c r="G4412" s="3" t="s">
        <v>4460</v>
      </c>
    </row>
    <row r="4413" ht="14.25" customHeight="1">
      <c r="G4413" s="3" t="s">
        <v>4461</v>
      </c>
    </row>
    <row r="4414" ht="14.25" customHeight="1">
      <c r="G4414" s="3" t="s">
        <v>4462</v>
      </c>
    </row>
    <row r="4415" ht="14.25" customHeight="1">
      <c r="G4415" s="3" t="s">
        <v>4463</v>
      </c>
    </row>
    <row r="4416" ht="14.25" customHeight="1">
      <c r="G4416" s="3" t="s">
        <v>4464</v>
      </c>
    </row>
    <row r="4417" ht="14.25" customHeight="1">
      <c r="G4417" s="3" t="s">
        <v>4465</v>
      </c>
    </row>
    <row r="4418" ht="14.25" customHeight="1">
      <c r="G4418" s="3" t="s">
        <v>4466</v>
      </c>
    </row>
    <row r="4419" ht="14.25" customHeight="1">
      <c r="G4419" s="3" t="s">
        <v>4467</v>
      </c>
    </row>
    <row r="4420" ht="14.25" customHeight="1">
      <c r="G4420" s="3" t="s">
        <v>4468</v>
      </c>
    </row>
    <row r="4421" ht="14.25" customHeight="1">
      <c r="G4421" s="3" t="s">
        <v>4469</v>
      </c>
    </row>
    <row r="4422" ht="14.25" customHeight="1">
      <c r="G4422" s="3" t="s">
        <v>4470</v>
      </c>
    </row>
    <row r="4423" ht="14.25" customHeight="1">
      <c r="G4423" s="3" t="s">
        <v>4471</v>
      </c>
    </row>
    <row r="4424" ht="14.25" customHeight="1">
      <c r="G4424" s="3" t="s">
        <v>4472</v>
      </c>
    </row>
    <row r="4425" ht="14.25" customHeight="1">
      <c r="G4425" s="3" t="s">
        <v>4473</v>
      </c>
    </row>
    <row r="4426" ht="14.25" customHeight="1">
      <c r="G4426" s="3" t="s">
        <v>4474</v>
      </c>
    </row>
    <row r="4427" ht="14.25" customHeight="1">
      <c r="G4427" s="3" t="s">
        <v>4475</v>
      </c>
    </row>
    <row r="4428" ht="14.25" customHeight="1">
      <c r="G4428" s="3" t="s">
        <v>4476</v>
      </c>
    </row>
    <row r="4429" ht="14.25" customHeight="1">
      <c r="G4429" s="3" t="s">
        <v>4477</v>
      </c>
    </row>
    <row r="4430" ht="14.25" customHeight="1">
      <c r="G4430" s="3" t="s">
        <v>4478</v>
      </c>
    </row>
    <row r="4431" ht="14.25" customHeight="1">
      <c r="G4431" s="3" t="s">
        <v>4479</v>
      </c>
    </row>
    <row r="4432" ht="14.25" customHeight="1">
      <c r="G4432" s="3" t="s">
        <v>4480</v>
      </c>
    </row>
    <row r="4433" ht="14.25" customHeight="1">
      <c r="G4433" s="3" t="s">
        <v>4481</v>
      </c>
    </row>
    <row r="4434" ht="14.25" customHeight="1">
      <c r="G4434" s="3" t="s">
        <v>4482</v>
      </c>
    </row>
    <row r="4435" ht="14.25" customHeight="1">
      <c r="G4435" s="3" t="s">
        <v>4483</v>
      </c>
    </row>
    <row r="4436" ht="14.25" customHeight="1">
      <c r="G4436" s="3" t="s">
        <v>4484</v>
      </c>
    </row>
    <row r="4437" ht="14.25" customHeight="1">
      <c r="G4437" s="3" t="s">
        <v>4485</v>
      </c>
    </row>
    <row r="4438" ht="14.25" customHeight="1">
      <c r="G4438" s="3" t="s">
        <v>4486</v>
      </c>
    </row>
    <row r="4439" ht="14.25" customHeight="1">
      <c r="G4439" s="3" t="s">
        <v>4487</v>
      </c>
    </row>
    <row r="4440" ht="14.25" customHeight="1">
      <c r="G4440" s="3" t="s">
        <v>4488</v>
      </c>
    </row>
    <row r="4441" ht="14.25" customHeight="1">
      <c r="G4441" s="3" t="s">
        <v>4489</v>
      </c>
    </row>
    <row r="4442" ht="14.25" customHeight="1">
      <c r="G4442" s="3" t="s">
        <v>4490</v>
      </c>
    </row>
    <row r="4443" ht="14.25" customHeight="1">
      <c r="G4443" s="3" t="s">
        <v>4491</v>
      </c>
    </row>
    <row r="4444" ht="14.25" customHeight="1">
      <c r="G4444" s="3" t="s">
        <v>4492</v>
      </c>
    </row>
    <row r="4445" ht="14.25" customHeight="1">
      <c r="G4445" s="3" t="s">
        <v>4493</v>
      </c>
    </row>
    <row r="4446" ht="14.25" customHeight="1">
      <c r="G4446" s="3" t="s">
        <v>4494</v>
      </c>
    </row>
    <row r="4447" ht="14.25" customHeight="1">
      <c r="G4447" s="3" t="s">
        <v>4495</v>
      </c>
    </row>
    <row r="4448" ht="14.25" customHeight="1">
      <c r="G4448" s="3" t="s">
        <v>4496</v>
      </c>
    </row>
    <row r="4449" ht="14.25" customHeight="1">
      <c r="G4449" s="3" t="s">
        <v>4497</v>
      </c>
    </row>
    <row r="4450" ht="14.25" customHeight="1">
      <c r="G4450" s="3" t="s">
        <v>4498</v>
      </c>
    </row>
    <row r="4451" ht="14.25" customHeight="1">
      <c r="G4451" s="3" t="s">
        <v>4499</v>
      </c>
    </row>
    <row r="4452" ht="14.25" customHeight="1">
      <c r="G4452" s="3" t="s">
        <v>4500</v>
      </c>
    </row>
    <row r="4453" ht="14.25" customHeight="1">
      <c r="G4453" s="3" t="s">
        <v>4501</v>
      </c>
    </row>
    <row r="4454" ht="14.25" customHeight="1">
      <c r="G4454" s="3" t="s">
        <v>4502</v>
      </c>
    </row>
    <row r="4455" ht="14.25" customHeight="1">
      <c r="G4455" s="3" t="s">
        <v>4503</v>
      </c>
    </row>
    <row r="4456" ht="14.25" customHeight="1">
      <c r="G4456" s="3" t="s">
        <v>4504</v>
      </c>
    </row>
    <row r="4457" ht="14.25" customHeight="1">
      <c r="G4457" s="3" t="s">
        <v>4505</v>
      </c>
    </row>
    <row r="4458" ht="14.25" customHeight="1">
      <c r="G4458" s="3" t="s">
        <v>4506</v>
      </c>
    </row>
    <row r="4459" ht="14.25" customHeight="1">
      <c r="G4459" s="3" t="s">
        <v>4507</v>
      </c>
    </row>
    <row r="4460" ht="14.25" customHeight="1">
      <c r="G4460" s="3" t="s">
        <v>4508</v>
      </c>
    </row>
    <row r="4461" ht="14.25" customHeight="1">
      <c r="G4461" s="3" t="s">
        <v>4509</v>
      </c>
    </row>
    <row r="4462" ht="14.25" customHeight="1">
      <c r="G4462" s="3" t="s">
        <v>4510</v>
      </c>
    </row>
    <row r="4463" ht="14.25" customHeight="1">
      <c r="G4463" s="3" t="s">
        <v>4511</v>
      </c>
    </row>
    <row r="4464" ht="14.25" customHeight="1">
      <c r="G4464" s="3" t="s">
        <v>4512</v>
      </c>
    </row>
    <row r="4465" ht="14.25" customHeight="1">
      <c r="G4465" s="3" t="s">
        <v>4513</v>
      </c>
    </row>
    <row r="4466" ht="14.25" customHeight="1">
      <c r="G4466" s="3" t="s">
        <v>4514</v>
      </c>
    </row>
    <row r="4467" ht="14.25" customHeight="1">
      <c r="G4467" s="3" t="s">
        <v>4515</v>
      </c>
    </row>
    <row r="4468" ht="14.25" customHeight="1">
      <c r="G4468" s="3" t="s">
        <v>4516</v>
      </c>
    </row>
    <row r="4469" ht="14.25" customHeight="1">
      <c r="G4469" s="3" t="s">
        <v>4517</v>
      </c>
    </row>
    <row r="4470" ht="14.25" customHeight="1">
      <c r="G4470" s="3" t="s">
        <v>4518</v>
      </c>
    </row>
    <row r="4471" ht="14.25" customHeight="1">
      <c r="G4471" s="3" t="s">
        <v>4519</v>
      </c>
    </row>
    <row r="4472" ht="14.25" customHeight="1">
      <c r="G4472" s="3" t="s">
        <v>4520</v>
      </c>
    </row>
    <row r="4473" ht="14.25" customHeight="1">
      <c r="G4473" s="3" t="s">
        <v>4521</v>
      </c>
    </row>
    <row r="4474" ht="14.25" customHeight="1">
      <c r="G4474" s="3" t="s">
        <v>4522</v>
      </c>
    </row>
    <row r="4475" ht="14.25" customHeight="1">
      <c r="G4475" s="3" t="s">
        <v>4523</v>
      </c>
    </row>
    <row r="4476" ht="14.25" customHeight="1">
      <c r="G4476" s="3" t="s">
        <v>4524</v>
      </c>
    </row>
    <row r="4477" ht="14.25" customHeight="1">
      <c r="G4477" s="3" t="s">
        <v>4525</v>
      </c>
    </row>
    <row r="4478" ht="14.25" customHeight="1">
      <c r="G4478" s="3" t="s">
        <v>4526</v>
      </c>
    </row>
    <row r="4479" ht="14.25" customHeight="1">
      <c r="G4479" s="3" t="s">
        <v>4527</v>
      </c>
    </row>
    <row r="4480" ht="14.25" customHeight="1">
      <c r="G4480" s="3" t="s">
        <v>4528</v>
      </c>
    </row>
    <row r="4481" ht="14.25" customHeight="1">
      <c r="G4481" s="3" t="s">
        <v>4529</v>
      </c>
    </row>
    <row r="4482" ht="14.25" customHeight="1">
      <c r="G4482" s="3" t="s">
        <v>4530</v>
      </c>
    </row>
    <row r="4483" ht="14.25" customHeight="1">
      <c r="G4483" s="3" t="s">
        <v>4531</v>
      </c>
    </row>
    <row r="4484" ht="14.25" customHeight="1">
      <c r="G4484" s="3" t="s">
        <v>4532</v>
      </c>
    </row>
    <row r="4485" ht="14.25" customHeight="1">
      <c r="G4485" s="3" t="s">
        <v>4533</v>
      </c>
    </row>
    <row r="4486" ht="14.25" customHeight="1">
      <c r="G4486" s="3" t="s">
        <v>4534</v>
      </c>
    </row>
    <row r="4487" ht="14.25" customHeight="1">
      <c r="G4487" s="3" t="s">
        <v>4535</v>
      </c>
    </row>
    <row r="4488" ht="14.25" customHeight="1">
      <c r="G4488" s="3" t="s">
        <v>4536</v>
      </c>
    </row>
    <row r="4489" ht="14.25" customHeight="1">
      <c r="G4489" s="3" t="s">
        <v>4537</v>
      </c>
    </row>
    <row r="4490" ht="14.25" customHeight="1">
      <c r="G4490" s="3" t="s">
        <v>4538</v>
      </c>
    </row>
    <row r="4491" ht="14.25" customHeight="1">
      <c r="G4491" s="3" t="s">
        <v>4539</v>
      </c>
    </row>
    <row r="4492" ht="14.25" customHeight="1">
      <c r="G4492" s="3" t="s">
        <v>4540</v>
      </c>
    </row>
    <row r="4493" ht="14.25" customHeight="1">
      <c r="G4493" s="3" t="s">
        <v>4541</v>
      </c>
    </row>
    <row r="4494" ht="14.25" customHeight="1">
      <c r="G4494" s="3" t="s">
        <v>4542</v>
      </c>
    </row>
    <row r="4495" ht="14.25" customHeight="1">
      <c r="G4495" s="3" t="s">
        <v>4543</v>
      </c>
    </row>
    <row r="4496" ht="14.25" customHeight="1">
      <c r="G4496" s="3" t="s">
        <v>4544</v>
      </c>
    </row>
    <row r="4497" ht="14.25" customHeight="1">
      <c r="G4497" s="3" t="s">
        <v>4545</v>
      </c>
    </row>
    <row r="4498" ht="14.25" customHeight="1">
      <c r="G4498" s="3" t="s">
        <v>4546</v>
      </c>
    </row>
    <row r="4499" ht="14.25" customHeight="1">
      <c r="G4499" s="3" t="s">
        <v>4547</v>
      </c>
    </row>
    <row r="4500" ht="14.25" customHeight="1">
      <c r="G4500" s="3" t="s">
        <v>4548</v>
      </c>
    </row>
    <row r="4501" ht="14.25" customHeight="1">
      <c r="G4501" s="3" t="s">
        <v>4549</v>
      </c>
    </row>
    <row r="4502" ht="14.25" customHeight="1">
      <c r="G4502" s="3" t="s">
        <v>4550</v>
      </c>
    </row>
    <row r="4503" ht="14.25" customHeight="1">
      <c r="G4503" s="3" t="s">
        <v>4551</v>
      </c>
    </row>
    <row r="4504" ht="14.25" customHeight="1">
      <c r="G4504" s="3" t="s">
        <v>4552</v>
      </c>
    </row>
    <row r="4505" ht="14.25" customHeight="1">
      <c r="G4505" s="3" t="s">
        <v>4553</v>
      </c>
    </row>
    <row r="4506" ht="14.25" customHeight="1">
      <c r="G4506" s="3" t="s">
        <v>4554</v>
      </c>
    </row>
    <row r="4507" ht="14.25" customHeight="1">
      <c r="G4507" s="3" t="s">
        <v>4555</v>
      </c>
    </row>
    <row r="4508" ht="14.25" customHeight="1">
      <c r="G4508" s="3" t="s">
        <v>4556</v>
      </c>
    </row>
    <row r="4509" ht="14.25" customHeight="1">
      <c r="G4509" s="3" t="s">
        <v>4557</v>
      </c>
    </row>
    <row r="4510" ht="14.25" customHeight="1">
      <c r="G4510" s="3" t="s">
        <v>4558</v>
      </c>
    </row>
    <row r="4511" ht="14.25" customHeight="1">
      <c r="G4511" s="3" t="s">
        <v>4559</v>
      </c>
    </row>
    <row r="4512" ht="14.25" customHeight="1">
      <c r="G4512" s="3" t="s">
        <v>4560</v>
      </c>
    </row>
    <row r="4513" ht="14.25" customHeight="1">
      <c r="G4513" s="3" t="s">
        <v>4561</v>
      </c>
    </row>
    <row r="4514" ht="14.25" customHeight="1">
      <c r="G4514" s="3" t="s">
        <v>4562</v>
      </c>
    </row>
    <row r="4515" ht="14.25" customHeight="1">
      <c r="G4515" s="3" t="s">
        <v>4563</v>
      </c>
    </row>
    <row r="4516" ht="14.25" customHeight="1">
      <c r="G4516" s="3" t="s">
        <v>4564</v>
      </c>
    </row>
    <row r="4517" ht="14.25" customHeight="1">
      <c r="G4517" s="3" t="s">
        <v>4565</v>
      </c>
    </row>
    <row r="4518" ht="14.25" customHeight="1">
      <c r="G4518" s="3" t="s">
        <v>4566</v>
      </c>
    </row>
    <row r="4519" ht="14.25" customHeight="1">
      <c r="G4519" s="3" t="s">
        <v>4567</v>
      </c>
    </row>
    <row r="4520" ht="14.25" customHeight="1">
      <c r="G4520" s="3" t="s">
        <v>4568</v>
      </c>
    </row>
    <row r="4521" ht="14.25" customHeight="1">
      <c r="G4521" s="3" t="s">
        <v>4569</v>
      </c>
    </row>
    <row r="4522" ht="14.25" customHeight="1">
      <c r="G4522" s="3" t="s">
        <v>4570</v>
      </c>
    </row>
    <row r="4523" ht="14.25" customHeight="1">
      <c r="G4523" s="3" t="s">
        <v>4571</v>
      </c>
    </row>
    <row r="4524" ht="14.25" customHeight="1">
      <c r="G4524" s="3" t="s">
        <v>4572</v>
      </c>
    </row>
    <row r="4525" ht="14.25" customHeight="1">
      <c r="G4525" s="3" t="s">
        <v>4573</v>
      </c>
    </row>
    <row r="4526" ht="14.25" customHeight="1">
      <c r="G4526" s="3" t="s">
        <v>4574</v>
      </c>
    </row>
    <row r="4527" ht="14.25" customHeight="1">
      <c r="G4527" s="3" t="s">
        <v>4575</v>
      </c>
    </row>
    <row r="4528" ht="14.25" customHeight="1">
      <c r="G4528" s="3" t="s">
        <v>4576</v>
      </c>
    </row>
    <row r="4529" ht="14.25" customHeight="1">
      <c r="G4529" s="3" t="s">
        <v>4577</v>
      </c>
    </row>
    <row r="4530" ht="14.25" customHeight="1">
      <c r="G4530" s="3" t="s">
        <v>4578</v>
      </c>
    </row>
    <row r="4531" ht="14.25" customHeight="1">
      <c r="G4531" s="3" t="s">
        <v>4579</v>
      </c>
    </row>
    <row r="4532" ht="14.25" customHeight="1">
      <c r="G4532" s="3" t="s">
        <v>4580</v>
      </c>
    </row>
    <row r="4533" ht="14.25" customHeight="1">
      <c r="G4533" s="3" t="s">
        <v>4581</v>
      </c>
    </row>
    <row r="4534" ht="14.25" customHeight="1">
      <c r="G4534" s="3" t="s">
        <v>4582</v>
      </c>
    </row>
    <row r="4535" ht="14.25" customHeight="1">
      <c r="G4535" s="3" t="s">
        <v>4583</v>
      </c>
    </row>
    <row r="4536" ht="14.25" customHeight="1">
      <c r="G4536" s="3" t="s">
        <v>4584</v>
      </c>
    </row>
    <row r="4537" ht="14.25" customHeight="1">
      <c r="G4537" s="3" t="s">
        <v>4585</v>
      </c>
    </row>
    <row r="4538" ht="14.25" customHeight="1">
      <c r="G4538" s="3" t="s">
        <v>4586</v>
      </c>
    </row>
    <row r="4539" ht="14.25" customHeight="1">
      <c r="G4539" s="3" t="s">
        <v>4587</v>
      </c>
    </row>
    <row r="4540" ht="14.25" customHeight="1">
      <c r="G4540" s="3" t="s">
        <v>4588</v>
      </c>
    </row>
    <row r="4541" ht="14.25" customHeight="1">
      <c r="G4541" s="3" t="s">
        <v>4589</v>
      </c>
    </row>
    <row r="4542" ht="14.25" customHeight="1">
      <c r="G4542" s="3" t="s">
        <v>4590</v>
      </c>
    </row>
    <row r="4543" ht="14.25" customHeight="1">
      <c r="G4543" s="3" t="s">
        <v>4591</v>
      </c>
    </row>
    <row r="4544" ht="14.25" customHeight="1">
      <c r="G4544" s="3" t="s">
        <v>4592</v>
      </c>
    </row>
    <row r="4545" ht="14.25" customHeight="1">
      <c r="G4545" s="3" t="s">
        <v>4593</v>
      </c>
    </row>
    <row r="4546" ht="14.25" customHeight="1">
      <c r="G4546" s="3" t="s">
        <v>4594</v>
      </c>
    </row>
    <row r="4547" ht="14.25" customHeight="1">
      <c r="G4547" s="3" t="s">
        <v>4595</v>
      </c>
    </row>
    <row r="4548" ht="14.25" customHeight="1">
      <c r="G4548" s="3" t="s">
        <v>4596</v>
      </c>
    </row>
    <row r="4549" ht="14.25" customHeight="1">
      <c r="G4549" s="3" t="s">
        <v>4597</v>
      </c>
    </row>
    <row r="4550" ht="14.25" customHeight="1">
      <c r="G4550" s="3" t="s">
        <v>4598</v>
      </c>
    </row>
    <row r="4551" ht="14.25" customHeight="1">
      <c r="G4551" s="3" t="s">
        <v>4599</v>
      </c>
    </row>
    <row r="4552" ht="14.25" customHeight="1">
      <c r="G4552" s="3" t="s">
        <v>4600</v>
      </c>
    </row>
    <row r="4553" ht="14.25" customHeight="1">
      <c r="G4553" s="3" t="s">
        <v>4601</v>
      </c>
    </row>
    <row r="4554" ht="14.25" customHeight="1">
      <c r="G4554" s="3" t="s">
        <v>4602</v>
      </c>
    </row>
    <row r="4555" ht="14.25" customHeight="1">
      <c r="G4555" s="3" t="s">
        <v>4603</v>
      </c>
    </row>
    <row r="4556" ht="14.25" customHeight="1">
      <c r="G4556" s="3" t="s">
        <v>4604</v>
      </c>
    </row>
    <row r="4557" ht="14.25" customHeight="1">
      <c r="G4557" s="3" t="s">
        <v>4605</v>
      </c>
    </row>
    <row r="4558" ht="14.25" customHeight="1">
      <c r="G4558" s="3" t="s">
        <v>4606</v>
      </c>
    </row>
    <row r="4559" ht="14.25" customHeight="1">
      <c r="G4559" s="3" t="s">
        <v>4607</v>
      </c>
    </row>
    <row r="4560" ht="14.25" customHeight="1">
      <c r="G4560" s="3" t="s">
        <v>4608</v>
      </c>
    </row>
    <row r="4561" ht="14.25" customHeight="1">
      <c r="G4561" s="3" t="s">
        <v>4609</v>
      </c>
    </row>
    <row r="4562" ht="14.25" customHeight="1">
      <c r="G4562" s="3" t="s">
        <v>4610</v>
      </c>
    </row>
    <row r="4563" ht="14.25" customHeight="1">
      <c r="G4563" s="3" t="s">
        <v>4611</v>
      </c>
    </row>
    <row r="4564" ht="14.25" customHeight="1">
      <c r="G4564" s="3" t="s">
        <v>4612</v>
      </c>
    </row>
    <row r="4565" ht="14.25" customHeight="1">
      <c r="G4565" s="3" t="s">
        <v>4613</v>
      </c>
    </row>
    <row r="4566" ht="14.25" customHeight="1">
      <c r="G4566" s="3" t="s">
        <v>4614</v>
      </c>
    </row>
    <row r="4567" ht="14.25" customHeight="1">
      <c r="G4567" s="3" t="s">
        <v>4615</v>
      </c>
    </row>
    <row r="4568" ht="14.25" customHeight="1">
      <c r="G4568" s="3" t="s">
        <v>4616</v>
      </c>
    </row>
    <row r="4569" ht="14.25" customHeight="1">
      <c r="G4569" s="3" t="s">
        <v>4617</v>
      </c>
    </row>
    <row r="4570" ht="14.25" customHeight="1">
      <c r="G4570" s="3" t="s">
        <v>4618</v>
      </c>
    </row>
    <row r="4571" ht="14.25" customHeight="1">
      <c r="G4571" s="3" t="s">
        <v>4619</v>
      </c>
    </row>
    <row r="4572" ht="14.25" customHeight="1">
      <c r="G4572" s="3" t="s">
        <v>4620</v>
      </c>
    </row>
    <row r="4573" ht="14.25" customHeight="1">
      <c r="G4573" s="3" t="s">
        <v>4621</v>
      </c>
    </row>
    <row r="4574" ht="14.25" customHeight="1">
      <c r="G4574" s="3" t="s">
        <v>4622</v>
      </c>
    </row>
    <row r="4575" ht="14.25" customHeight="1">
      <c r="G4575" s="3" t="s">
        <v>4623</v>
      </c>
    </row>
    <row r="4576" ht="14.25" customHeight="1">
      <c r="G4576" s="3" t="s">
        <v>4624</v>
      </c>
    </row>
    <row r="4577" ht="14.25" customHeight="1">
      <c r="G4577" s="3" t="s">
        <v>4625</v>
      </c>
    </row>
    <row r="4578" ht="14.25" customHeight="1">
      <c r="G4578" s="3" t="s">
        <v>4626</v>
      </c>
    </row>
    <row r="4579" ht="14.25" customHeight="1">
      <c r="G4579" s="3" t="s">
        <v>4627</v>
      </c>
    </row>
    <row r="4580" ht="14.25" customHeight="1">
      <c r="G4580" s="3" t="s">
        <v>4628</v>
      </c>
    </row>
    <row r="4581" ht="14.25" customHeight="1">
      <c r="G4581" s="3" t="s">
        <v>4629</v>
      </c>
    </row>
    <row r="4582" ht="14.25" customHeight="1">
      <c r="G4582" s="3" t="s">
        <v>4630</v>
      </c>
    </row>
    <row r="4583" ht="14.25" customHeight="1">
      <c r="G4583" s="3" t="s">
        <v>4631</v>
      </c>
    </row>
    <row r="4584" ht="14.25" customHeight="1">
      <c r="G4584" s="3" t="s">
        <v>4632</v>
      </c>
    </row>
    <row r="4585" ht="14.25" customHeight="1">
      <c r="G4585" s="3" t="s">
        <v>4633</v>
      </c>
    </row>
    <row r="4586" ht="14.25" customHeight="1">
      <c r="G4586" s="3" t="s">
        <v>4634</v>
      </c>
    </row>
    <row r="4587" ht="14.25" customHeight="1">
      <c r="G4587" s="3" t="s">
        <v>4635</v>
      </c>
    </row>
    <row r="4588" ht="14.25" customHeight="1">
      <c r="G4588" s="3" t="s">
        <v>4636</v>
      </c>
    </row>
    <row r="4589" ht="14.25" customHeight="1">
      <c r="G4589" s="3" t="s">
        <v>4637</v>
      </c>
    </row>
    <row r="4590" ht="14.25" customHeight="1">
      <c r="G4590" s="3" t="s">
        <v>4638</v>
      </c>
    </row>
    <row r="4591" ht="14.25" customHeight="1">
      <c r="G4591" s="3" t="s">
        <v>4639</v>
      </c>
    </row>
    <row r="4592" ht="14.25" customHeight="1">
      <c r="G4592" s="3" t="s">
        <v>4640</v>
      </c>
    </row>
    <row r="4593" ht="14.25" customHeight="1">
      <c r="G4593" s="3" t="s">
        <v>4641</v>
      </c>
    </row>
    <row r="4594" ht="14.25" customHeight="1">
      <c r="G4594" s="3" t="s">
        <v>4642</v>
      </c>
    </row>
    <row r="4595" ht="14.25" customHeight="1">
      <c r="G4595" s="3" t="s">
        <v>4643</v>
      </c>
    </row>
    <row r="4596" ht="14.25" customHeight="1">
      <c r="G4596" s="3" t="s">
        <v>4644</v>
      </c>
    </row>
    <row r="4597" ht="14.25" customHeight="1">
      <c r="G4597" s="3" t="s">
        <v>4645</v>
      </c>
    </row>
    <row r="4598" ht="14.25" customHeight="1">
      <c r="G4598" s="3" t="s">
        <v>4646</v>
      </c>
    </row>
    <row r="4599" ht="14.25" customHeight="1">
      <c r="G4599" s="3" t="s">
        <v>4647</v>
      </c>
    </row>
    <row r="4600" ht="14.25" customHeight="1">
      <c r="G4600" s="3" t="s">
        <v>4648</v>
      </c>
    </row>
    <row r="4601" ht="14.25" customHeight="1">
      <c r="G4601" s="3" t="s">
        <v>4649</v>
      </c>
    </row>
    <row r="4602" ht="14.25" customHeight="1">
      <c r="G4602" s="3" t="s">
        <v>4650</v>
      </c>
    </row>
    <row r="4603" ht="14.25" customHeight="1">
      <c r="G4603" s="3" t="s">
        <v>4651</v>
      </c>
    </row>
    <row r="4604" ht="14.25" customHeight="1">
      <c r="G4604" s="3" t="s">
        <v>4652</v>
      </c>
    </row>
    <row r="4605" ht="14.25" customHeight="1">
      <c r="G4605" s="3" t="s">
        <v>4653</v>
      </c>
    </row>
    <row r="4606" ht="14.25" customHeight="1">
      <c r="G4606" s="3" t="s">
        <v>4654</v>
      </c>
    </row>
    <row r="4607" ht="14.25" customHeight="1">
      <c r="G4607" s="3" t="s">
        <v>4655</v>
      </c>
    </row>
    <row r="4608" ht="14.25" customHeight="1">
      <c r="G4608" s="3" t="s">
        <v>4656</v>
      </c>
    </row>
    <row r="4609" ht="14.25" customHeight="1">
      <c r="G4609" s="3" t="s">
        <v>4657</v>
      </c>
    </row>
    <row r="4610" ht="14.25" customHeight="1">
      <c r="G4610" s="3" t="s">
        <v>4658</v>
      </c>
    </row>
    <row r="4611" ht="14.25" customHeight="1">
      <c r="G4611" s="3" t="s">
        <v>4659</v>
      </c>
    </row>
    <row r="4612" ht="14.25" customHeight="1">
      <c r="G4612" s="3" t="s">
        <v>4660</v>
      </c>
    </row>
    <row r="4613" ht="14.25" customHeight="1">
      <c r="G4613" s="3" t="s">
        <v>4661</v>
      </c>
    </row>
    <row r="4614" ht="14.25" customHeight="1">
      <c r="G4614" s="3" t="s">
        <v>4662</v>
      </c>
    </row>
    <row r="4615" ht="14.25" customHeight="1">
      <c r="G4615" s="3" t="s">
        <v>4663</v>
      </c>
    </row>
    <row r="4616" ht="14.25" customHeight="1">
      <c r="G4616" s="3" t="s">
        <v>4664</v>
      </c>
    </row>
    <row r="4617" ht="14.25" customHeight="1">
      <c r="G4617" s="3" t="s">
        <v>4665</v>
      </c>
    </row>
    <row r="4618" ht="14.25" customHeight="1">
      <c r="G4618" s="3" t="s">
        <v>4666</v>
      </c>
    </row>
    <row r="4619" ht="14.25" customHeight="1">
      <c r="G4619" s="3" t="s">
        <v>4667</v>
      </c>
    </row>
    <row r="4620" ht="14.25" customHeight="1">
      <c r="G4620" s="3" t="s">
        <v>4668</v>
      </c>
    </row>
    <row r="4621" ht="14.25" customHeight="1">
      <c r="G4621" s="3" t="s">
        <v>4669</v>
      </c>
    </row>
    <row r="4622" ht="14.25" customHeight="1">
      <c r="G4622" s="3" t="s">
        <v>4670</v>
      </c>
    </row>
    <row r="4623" ht="14.25" customHeight="1">
      <c r="G4623" s="3" t="s">
        <v>4671</v>
      </c>
    </row>
    <row r="4624" ht="14.25" customHeight="1">
      <c r="G4624" s="3" t="s">
        <v>4672</v>
      </c>
    </row>
    <row r="4625" ht="14.25" customHeight="1">
      <c r="G4625" s="3" t="s">
        <v>4673</v>
      </c>
    </row>
    <row r="4626" ht="14.25" customHeight="1">
      <c r="G4626" s="3" t="s">
        <v>4674</v>
      </c>
    </row>
    <row r="4627" ht="14.25" customHeight="1">
      <c r="G4627" s="3" t="s">
        <v>4675</v>
      </c>
    </row>
    <row r="4628" ht="14.25" customHeight="1">
      <c r="G4628" s="3" t="s">
        <v>4676</v>
      </c>
    </row>
    <row r="4629" ht="14.25" customHeight="1">
      <c r="G4629" s="3" t="s">
        <v>4677</v>
      </c>
    </row>
    <row r="4630" ht="14.25" customHeight="1">
      <c r="G4630" s="3" t="s">
        <v>4678</v>
      </c>
    </row>
    <row r="4631" ht="14.25" customHeight="1">
      <c r="G4631" s="3" t="s">
        <v>4679</v>
      </c>
    </row>
    <row r="4632" ht="14.25" customHeight="1">
      <c r="G4632" s="3" t="s">
        <v>4680</v>
      </c>
    </row>
    <row r="4633" ht="14.25" customHeight="1">
      <c r="G4633" s="3" t="s">
        <v>4681</v>
      </c>
    </row>
    <row r="4634" ht="14.25" customHeight="1">
      <c r="G4634" s="3" t="s">
        <v>4682</v>
      </c>
    </row>
    <row r="4635" ht="14.25" customHeight="1">
      <c r="G4635" s="3" t="s">
        <v>4683</v>
      </c>
    </row>
    <row r="4636" ht="14.25" customHeight="1">
      <c r="G4636" s="3" t="s">
        <v>4684</v>
      </c>
    </row>
    <row r="4637" ht="14.25" customHeight="1">
      <c r="G4637" s="3" t="s">
        <v>4685</v>
      </c>
    </row>
    <row r="4638" ht="14.25" customHeight="1">
      <c r="G4638" s="3" t="s">
        <v>4686</v>
      </c>
    </row>
    <row r="4639" ht="14.25" customHeight="1">
      <c r="G4639" s="3" t="s">
        <v>4687</v>
      </c>
    </row>
    <row r="4640" ht="14.25" customHeight="1">
      <c r="G4640" s="3" t="s">
        <v>4688</v>
      </c>
    </row>
    <row r="4641" ht="14.25" customHeight="1">
      <c r="G4641" s="3" t="s">
        <v>4689</v>
      </c>
    </row>
    <row r="4642" ht="14.25" customHeight="1">
      <c r="G4642" s="3" t="s">
        <v>4690</v>
      </c>
    </row>
    <row r="4643" ht="14.25" customHeight="1">
      <c r="G4643" s="3" t="s">
        <v>4691</v>
      </c>
    </row>
    <row r="4644" ht="14.25" customHeight="1">
      <c r="G4644" s="3" t="s">
        <v>4692</v>
      </c>
    </row>
    <row r="4645" ht="14.25" customHeight="1">
      <c r="G4645" s="3" t="s">
        <v>4693</v>
      </c>
    </row>
    <row r="4646" ht="14.25" customHeight="1">
      <c r="G4646" s="3" t="s">
        <v>4694</v>
      </c>
    </row>
    <row r="4647" ht="14.25" customHeight="1">
      <c r="G4647" s="3" t="s">
        <v>4695</v>
      </c>
    </row>
    <row r="4648" ht="14.25" customHeight="1">
      <c r="G4648" s="3" t="s">
        <v>4696</v>
      </c>
    </row>
    <row r="4649" ht="14.25" customHeight="1">
      <c r="G4649" s="3" t="s">
        <v>4697</v>
      </c>
    </row>
    <row r="4650" ht="14.25" customHeight="1">
      <c r="G4650" s="3" t="s">
        <v>4698</v>
      </c>
    </row>
    <row r="4651" ht="14.25" customHeight="1">
      <c r="G4651" s="3" t="s">
        <v>4699</v>
      </c>
    </row>
    <row r="4652" ht="14.25" customHeight="1">
      <c r="G4652" s="3" t="s">
        <v>4700</v>
      </c>
    </row>
    <row r="4653" ht="14.25" customHeight="1">
      <c r="G4653" s="3" t="s">
        <v>4701</v>
      </c>
    </row>
    <row r="4654" ht="14.25" customHeight="1">
      <c r="G4654" s="3" t="s">
        <v>4702</v>
      </c>
    </row>
    <row r="4655" ht="14.25" customHeight="1">
      <c r="G4655" s="3" t="s">
        <v>4703</v>
      </c>
    </row>
    <row r="4656" ht="14.25" customHeight="1">
      <c r="G4656" s="3" t="s">
        <v>4704</v>
      </c>
    </row>
    <row r="4657" ht="14.25" customHeight="1">
      <c r="G4657" s="3" t="s">
        <v>4705</v>
      </c>
    </row>
    <row r="4658" ht="14.25" customHeight="1">
      <c r="G4658" s="3" t="s">
        <v>4706</v>
      </c>
    </row>
    <row r="4659" ht="14.25" customHeight="1">
      <c r="G4659" s="3" t="s">
        <v>4707</v>
      </c>
    </row>
    <row r="4660" ht="14.25" customHeight="1">
      <c r="G4660" s="3" t="s">
        <v>4708</v>
      </c>
    </row>
    <row r="4661" ht="14.25" customHeight="1">
      <c r="G4661" s="3" t="s">
        <v>4709</v>
      </c>
    </row>
    <row r="4662" ht="14.25" customHeight="1">
      <c r="G4662" s="3" t="s">
        <v>4710</v>
      </c>
    </row>
    <row r="4663" ht="14.25" customHeight="1">
      <c r="G4663" s="3" t="s">
        <v>4711</v>
      </c>
    </row>
    <row r="4664" ht="14.25" customHeight="1">
      <c r="G4664" s="3" t="s">
        <v>4712</v>
      </c>
    </row>
    <row r="4665" ht="14.25" customHeight="1">
      <c r="G4665" s="3" t="s">
        <v>4713</v>
      </c>
    </row>
    <row r="4666" ht="14.25" customHeight="1">
      <c r="G4666" s="3" t="s">
        <v>4714</v>
      </c>
    </row>
    <row r="4667" ht="14.25" customHeight="1">
      <c r="G4667" s="3" t="s">
        <v>4715</v>
      </c>
    </row>
    <row r="4668" ht="14.25" customHeight="1">
      <c r="G4668" s="3" t="s">
        <v>4716</v>
      </c>
    </row>
    <row r="4669" ht="14.25" customHeight="1">
      <c r="G4669" s="3" t="s">
        <v>4717</v>
      </c>
    </row>
    <row r="4670" ht="14.25" customHeight="1">
      <c r="G4670" s="3" t="s">
        <v>4718</v>
      </c>
    </row>
    <row r="4671" ht="14.25" customHeight="1">
      <c r="G4671" s="3" t="s">
        <v>4719</v>
      </c>
    </row>
    <row r="4672" ht="14.25" customHeight="1">
      <c r="G4672" s="3" t="s">
        <v>4720</v>
      </c>
    </row>
    <row r="4673" ht="14.25" customHeight="1">
      <c r="G4673" s="3" t="s">
        <v>4721</v>
      </c>
    </row>
    <row r="4674" ht="14.25" customHeight="1">
      <c r="G4674" s="3" t="s">
        <v>4722</v>
      </c>
    </row>
    <row r="4675" ht="14.25" customHeight="1">
      <c r="G4675" s="3" t="s">
        <v>4723</v>
      </c>
    </row>
    <row r="4676" ht="14.25" customHeight="1">
      <c r="G4676" s="3" t="s">
        <v>4724</v>
      </c>
    </row>
    <row r="4677" ht="14.25" customHeight="1">
      <c r="G4677" s="3" t="s">
        <v>4725</v>
      </c>
    </row>
    <row r="4678" ht="14.25" customHeight="1">
      <c r="G4678" s="3" t="s">
        <v>4726</v>
      </c>
    </row>
    <row r="4679" ht="14.25" customHeight="1">
      <c r="G4679" s="3" t="s">
        <v>4727</v>
      </c>
    </row>
    <row r="4680" ht="14.25" customHeight="1">
      <c r="G4680" s="3" t="s">
        <v>4728</v>
      </c>
    </row>
    <row r="4681" ht="14.25" customHeight="1">
      <c r="G4681" s="3" t="s">
        <v>4729</v>
      </c>
    </row>
    <row r="4682" ht="14.25" customHeight="1">
      <c r="G4682" s="3" t="s">
        <v>4730</v>
      </c>
    </row>
    <row r="4683" ht="14.25" customHeight="1">
      <c r="G4683" s="3" t="s">
        <v>4731</v>
      </c>
    </row>
    <row r="4684" ht="14.25" customHeight="1">
      <c r="G4684" s="3" t="s">
        <v>4732</v>
      </c>
    </row>
    <row r="4685" ht="14.25" customHeight="1">
      <c r="G4685" s="3" t="s">
        <v>4733</v>
      </c>
    </row>
    <row r="4686" ht="14.25" customHeight="1">
      <c r="G4686" s="3" t="s">
        <v>4734</v>
      </c>
    </row>
    <row r="4687" ht="14.25" customHeight="1">
      <c r="G4687" s="3" t="s">
        <v>4735</v>
      </c>
    </row>
    <row r="4688" ht="14.25" customHeight="1">
      <c r="G4688" s="3" t="s">
        <v>4736</v>
      </c>
    </row>
    <row r="4689" ht="14.25" customHeight="1">
      <c r="G4689" s="3" t="s">
        <v>4737</v>
      </c>
    </row>
    <row r="4690" ht="14.25" customHeight="1">
      <c r="G4690" s="3" t="s">
        <v>4738</v>
      </c>
    </row>
    <row r="4691" ht="14.25" customHeight="1">
      <c r="G4691" s="3" t="s">
        <v>4739</v>
      </c>
    </row>
    <row r="4692" ht="14.25" customHeight="1">
      <c r="G4692" s="3" t="s">
        <v>4740</v>
      </c>
    </row>
    <row r="4693" ht="14.25" customHeight="1">
      <c r="G4693" s="3" t="s">
        <v>4741</v>
      </c>
    </row>
    <row r="4694" ht="14.25" customHeight="1">
      <c r="G4694" s="3" t="s">
        <v>4742</v>
      </c>
    </row>
    <row r="4695" ht="14.25" customHeight="1">
      <c r="G4695" s="3" t="s">
        <v>4743</v>
      </c>
    </row>
    <row r="4696" ht="14.25" customHeight="1">
      <c r="G4696" s="3" t="s">
        <v>4744</v>
      </c>
    </row>
    <row r="4697" ht="14.25" customHeight="1">
      <c r="G4697" s="3" t="s">
        <v>4745</v>
      </c>
    </row>
    <row r="4698" ht="14.25" customHeight="1">
      <c r="G4698" s="3" t="s">
        <v>4746</v>
      </c>
    </row>
    <row r="4699" ht="14.25" customHeight="1">
      <c r="G4699" s="3" t="s">
        <v>4747</v>
      </c>
    </row>
    <row r="4700" ht="14.25" customHeight="1">
      <c r="G4700" s="3" t="s">
        <v>4748</v>
      </c>
    </row>
    <row r="4701" ht="14.25" customHeight="1">
      <c r="G4701" s="3" t="s">
        <v>4749</v>
      </c>
    </row>
    <row r="4702" ht="14.25" customHeight="1">
      <c r="G4702" s="3" t="s">
        <v>4750</v>
      </c>
    </row>
    <row r="4703" ht="14.25" customHeight="1">
      <c r="G4703" s="3" t="s">
        <v>4751</v>
      </c>
    </row>
    <row r="4704" ht="14.25" customHeight="1">
      <c r="G4704" s="3" t="s">
        <v>4752</v>
      </c>
    </row>
    <row r="4705" ht="14.25" customHeight="1">
      <c r="G4705" s="3" t="s">
        <v>4753</v>
      </c>
    </row>
    <row r="4706" ht="14.25" customHeight="1">
      <c r="G4706" s="3" t="s">
        <v>4754</v>
      </c>
    </row>
    <row r="4707" ht="14.25" customHeight="1">
      <c r="G4707" s="3" t="s">
        <v>4755</v>
      </c>
    </row>
    <row r="4708" ht="14.25" customHeight="1">
      <c r="G4708" s="3" t="s">
        <v>4756</v>
      </c>
    </row>
    <row r="4709" ht="14.25" customHeight="1">
      <c r="G4709" s="3" t="s">
        <v>4757</v>
      </c>
    </row>
    <row r="4710" ht="14.25" customHeight="1">
      <c r="G4710" s="3" t="s">
        <v>4758</v>
      </c>
    </row>
    <row r="4711" ht="14.25" customHeight="1">
      <c r="G4711" s="3" t="s">
        <v>4759</v>
      </c>
    </row>
    <row r="4712" ht="14.25" customHeight="1">
      <c r="G4712" s="3" t="s">
        <v>4760</v>
      </c>
    </row>
    <row r="4713" ht="14.25" customHeight="1">
      <c r="G4713" s="3" t="s">
        <v>4761</v>
      </c>
    </row>
    <row r="4714" ht="14.25" customHeight="1">
      <c r="G4714" s="3" t="s">
        <v>4762</v>
      </c>
    </row>
    <row r="4715" ht="14.25" customHeight="1">
      <c r="G4715" s="3" t="s">
        <v>4763</v>
      </c>
    </row>
    <row r="4716" ht="14.25" customHeight="1">
      <c r="G4716" s="3" t="s">
        <v>4764</v>
      </c>
    </row>
    <row r="4717" ht="14.25" customHeight="1">
      <c r="G4717" s="3" t="s">
        <v>4765</v>
      </c>
    </row>
    <row r="4718" ht="14.25" customHeight="1">
      <c r="G4718" s="3" t="s">
        <v>4766</v>
      </c>
    </row>
    <row r="4719" ht="14.25" customHeight="1">
      <c r="G4719" s="3" t="s">
        <v>4767</v>
      </c>
    </row>
    <row r="4720" ht="14.25" customHeight="1">
      <c r="G4720" s="3" t="s">
        <v>4768</v>
      </c>
    </row>
    <row r="4721" ht="14.25" customHeight="1">
      <c r="G4721" s="3" t="s">
        <v>4769</v>
      </c>
    </row>
    <row r="4722" ht="14.25" customHeight="1">
      <c r="G4722" s="3" t="s">
        <v>4770</v>
      </c>
    </row>
    <row r="4723" ht="14.25" customHeight="1">
      <c r="G4723" s="3" t="s">
        <v>4771</v>
      </c>
    </row>
    <row r="4724" ht="14.25" customHeight="1">
      <c r="G4724" s="3" t="s">
        <v>4772</v>
      </c>
    </row>
    <row r="4725" ht="14.25" customHeight="1">
      <c r="G4725" s="3" t="s">
        <v>4773</v>
      </c>
    </row>
    <row r="4726" ht="14.25" customHeight="1">
      <c r="G4726" s="3" t="s">
        <v>4774</v>
      </c>
    </row>
    <row r="4727" ht="14.25" customHeight="1">
      <c r="G4727" s="3" t="s">
        <v>4775</v>
      </c>
    </row>
    <row r="4728" ht="14.25" customHeight="1">
      <c r="G4728" s="3" t="s">
        <v>4776</v>
      </c>
    </row>
    <row r="4729" ht="14.25" customHeight="1">
      <c r="G4729" s="3" t="s">
        <v>4777</v>
      </c>
    </row>
    <row r="4730" ht="14.25" customHeight="1">
      <c r="G4730" s="3" t="s">
        <v>4778</v>
      </c>
    </row>
    <row r="4731" ht="14.25" customHeight="1">
      <c r="G4731" s="3" t="s">
        <v>4779</v>
      </c>
    </row>
    <row r="4732" ht="14.25" customHeight="1">
      <c r="G4732" s="3" t="s">
        <v>4780</v>
      </c>
    </row>
    <row r="4733" ht="14.25" customHeight="1">
      <c r="G4733" s="3" t="s">
        <v>4781</v>
      </c>
    </row>
    <row r="4734" ht="14.25" customHeight="1">
      <c r="G4734" s="3" t="s">
        <v>4782</v>
      </c>
    </row>
    <row r="4735" ht="14.25" customHeight="1">
      <c r="G4735" s="3" t="s">
        <v>4783</v>
      </c>
    </row>
    <row r="4736" ht="14.25" customHeight="1">
      <c r="G4736" s="3" t="s">
        <v>4784</v>
      </c>
    </row>
    <row r="4737" ht="14.25" customHeight="1">
      <c r="G4737" s="3" t="s">
        <v>4785</v>
      </c>
    </row>
    <row r="4738" ht="14.25" customHeight="1">
      <c r="G4738" s="3" t="s">
        <v>4786</v>
      </c>
    </row>
    <row r="4739" ht="14.25" customHeight="1">
      <c r="G4739" s="3" t="s">
        <v>4787</v>
      </c>
    </row>
    <row r="4740" ht="14.25" customHeight="1">
      <c r="G4740" s="3" t="s">
        <v>4788</v>
      </c>
    </row>
    <row r="4741" ht="14.25" customHeight="1">
      <c r="G4741" s="3" t="s">
        <v>4789</v>
      </c>
    </row>
    <row r="4742" ht="14.25" customHeight="1">
      <c r="G4742" s="3" t="s">
        <v>4790</v>
      </c>
    </row>
    <row r="4743" ht="14.25" customHeight="1">
      <c r="G4743" s="3" t="s">
        <v>4791</v>
      </c>
    </row>
    <row r="4744" ht="14.25" customHeight="1">
      <c r="G4744" s="3" t="s">
        <v>4792</v>
      </c>
    </row>
    <row r="4745" ht="14.25" customHeight="1">
      <c r="G4745" s="3" t="s">
        <v>4793</v>
      </c>
    </row>
    <row r="4746" ht="14.25" customHeight="1">
      <c r="G4746" s="3" t="s">
        <v>4794</v>
      </c>
    </row>
    <row r="4747" ht="14.25" customHeight="1">
      <c r="G4747" s="3" t="s">
        <v>4795</v>
      </c>
    </row>
    <row r="4748" ht="14.25" customHeight="1">
      <c r="G4748" s="3" t="s">
        <v>4796</v>
      </c>
    </row>
    <row r="4749" ht="14.25" customHeight="1">
      <c r="G4749" s="3" t="s">
        <v>4797</v>
      </c>
    </row>
    <row r="4750" ht="14.25" customHeight="1">
      <c r="G4750" s="3" t="s">
        <v>4798</v>
      </c>
    </row>
    <row r="4751" ht="14.25" customHeight="1">
      <c r="G4751" s="3" t="s">
        <v>4799</v>
      </c>
    </row>
    <row r="4752" ht="14.25" customHeight="1">
      <c r="G4752" s="3" t="s">
        <v>4800</v>
      </c>
    </row>
    <row r="4753" ht="14.25" customHeight="1">
      <c r="G4753" s="3" t="s">
        <v>4801</v>
      </c>
    </row>
    <row r="4754" ht="14.25" customHeight="1">
      <c r="G4754" s="3" t="s">
        <v>4802</v>
      </c>
    </row>
    <row r="4755" ht="14.25" customHeight="1">
      <c r="G4755" s="3" t="s">
        <v>4803</v>
      </c>
    </row>
    <row r="4756" ht="14.25" customHeight="1">
      <c r="G4756" s="3" t="s">
        <v>4804</v>
      </c>
    </row>
    <row r="4757" ht="14.25" customHeight="1">
      <c r="G4757" s="3" t="s">
        <v>4805</v>
      </c>
    </row>
    <row r="4758" ht="14.25" customHeight="1">
      <c r="G4758" s="3" t="s">
        <v>4806</v>
      </c>
    </row>
    <row r="4759" ht="14.25" customHeight="1">
      <c r="G4759" s="3" t="s">
        <v>4807</v>
      </c>
    </row>
    <row r="4760" ht="14.25" customHeight="1">
      <c r="G4760" s="3" t="s">
        <v>4808</v>
      </c>
    </row>
    <row r="4761" ht="14.25" customHeight="1">
      <c r="G4761" s="3" t="s">
        <v>4809</v>
      </c>
    </row>
    <row r="4762" ht="14.25" customHeight="1">
      <c r="G4762" s="3" t="s">
        <v>4810</v>
      </c>
    </row>
    <row r="4763" ht="14.25" customHeight="1">
      <c r="G4763" s="3" t="s">
        <v>4811</v>
      </c>
    </row>
    <row r="4764" ht="14.25" customHeight="1">
      <c r="G4764" s="3" t="s">
        <v>4812</v>
      </c>
    </row>
    <row r="4765" ht="14.25" customHeight="1">
      <c r="G4765" s="3" t="s">
        <v>4813</v>
      </c>
    </row>
    <row r="4766" ht="14.25" customHeight="1">
      <c r="G4766" s="3" t="s">
        <v>4814</v>
      </c>
    </row>
    <row r="4767" ht="14.25" customHeight="1">
      <c r="G4767" s="3" t="s">
        <v>4815</v>
      </c>
    </row>
    <row r="4768" ht="14.25" customHeight="1">
      <c r="G4768" s="3" t="s">
        <v>4816</v>
      </c>
    </row>
    <row r="4769" ht="14.25" customHeight="1">
      <c r="G4769" s="3" t="s">
        <v>4817</v>
      </c>
    </row>
    <row r="4770" ht="14.25" customHeight="1">
      <c r="G4770" s="3" t="s">
        <v>4818</v>
      </c>
    </row>
    <row r="4771" ht="14.25" customHeight="1">
      <c r="G4771" s="3" t="s">
        <v>4819</v>
      </c>
    </row>
    <row r="4772" ht="14.25" customHeight="1">
      <c r="G4772" s="3" t="s">
        <v>4820</v>
      </c>
    </row>
    <row r="4773" ht="14.25" customHeight="1">
      <c r="G4773" s="3" t="s">
        <v>4821</v>
      </c>
    </row>
    <row r="4774" ht="14.25" customHeight="1">
      <c r="G4774" s="3" t="s">
        <v>4822</v>
      </c>
    </row>
    <row r="4775" ht="14.25" customHeight="1">
      <c r="G4775" s="3" t="s">
        <v>4823</v>
      </c>
    </row>
    <row r="4776" ht="14.25" customHeight="1">
      <c r="G4776" s="3" t="s">
        <v>4824</v>
      </c>
    </row>
    <row r="4777" ht="14.25" customHeight="1">
      <c r="G4777" s="3" t="s">
        <v>4825</v>
      </c>
    </row>
    <row r="4778" ht="14.25" customHeight="1">
      <c r="G4778" s="3" t="s">
        <v>4826</v>
      </c>
    </row>
    <row r="4779" ht="14.25" customHeight="1">
      <c r="G4779" s="3" t="s">
        <v>4827</v>
      </c>
    </row>
    <row r="4780" ht="14.25" customHeight="1">
      <c r="G4780" s="3" t="s">
        <v>4828</v>
      </c>
    </row>
    <row r="4781" ht="14.25" customHeight="1">
      <c r="G4781" s="3" t="s">
        <v>4829</v>
      </c>
    </row>
    <row r="4782" ht="14.25" customHeight="1">
      <c r="G4782" s="3" t="s">
        <v>4830</v>
      </c>
    </row>
    <row r="4783" ht="14.25" customHeight="1">
      <c r="G4783" s="3" t="s">
        <v>4831</v>
      </c>
    </row>
    <row r="4784" ht="14.25" customHeight="1">
      <c r="G4784" s="3" t="s">
        <v>4832</v>
      </c>
    </row>
    <row r="4785" ht="14.25" customHeight="1">
      <c r="G4785" s="3" t="s">
        <v>4833</v>
      </c>
    </row>
    <row r="4786" ht="14.25" customHeight="1">
      <c r="G4786" s="3" t="s">
        <v>4834</v>
      </c>
    </row>
    <row r="4787" ht="14.25" customHeight="1">
      <c r="G4787" s="3" t="s">
        <v>4835</v>
      </c>
    </row>
    <row r="4788" ht="14.25" customHeight="1">
      <c r="G4788" s="3" t="s">
        <v>4836</v>
      </c>
    </row>
    <row r="4789" ht="14.25" customHeight="1">
      <c r="G4789" s="3" t="s">
        <v>4837</v>
      </c>
    </row>
    <row r="4790" ht="14.25" customHeight="1">
      <c r="G4790" s="3" t="s">
        <v>4838</v>
      </c>
    </row>
    <row r="4791" ht="14.25" customHeight="1">
      <c r="G4791" s="3" t="s">
        <v>4839</v>
      </c>
    </row>
    <row r="4792" ht="14.25" customHeight="1">
      <c r="G4792" s="3" t="s">
        <v>4840</v>
      </c>
    </row>
    <row r="4793" ht="14.25" customHeight="1">
      <c r="G4793" s="3" t="s">
        <v>4841</v>
      </c>
    </row>
    <row r="4794" ht="14.25" customHeight="1">
      <c r="G4794" s="3" t="s">
        <v>4842</v>
      </c>
    </row>
    <row r="4795" ht="14.25" customHeight="1">
      <c r="G4795" s="3" t="s">
        <v>4843</v>
      </c>
    </row>
    <row r="4796" ht="14.25" customHeight="1">
      <c r="G4796" s="3" t="s">
        <v>4844</v>
      </c>
    </row>
    <row r="4797" ht="14.25" customHeight="1">
      <c r="G4797" s="3" t="s">
        <v>4845</v>
      </c>
    </row>
    <row r="4798" ht="14.25" customHeight="1">
      <c r="G4798" s="3" t="s">
        <v>4846</v>
      </c>
    </row>
    <row r="4799" ht="14.25" customHeight="1">
      <c r="G4799" s="3" t="s">
        <v>4847</v>
      </c>
    </row>
    <row r="4800" ht="14.25" customHeight="1">
      <c r="G4800" s="3" t="s">
        <v>4848</v>
      </c>
    </row>
    <row r="4801" ht="14.25" customHeight="1">
      <c r="G4801" s="3" t="s">
        <v>4849</v>
      </c>
    </row>
    <row r="4802" ht="14.25" customHeight="1">
      <c r="G4802" s="3" t="s">
        <v>4850</v>
      </c>
    </row>
    <row r="4803" ht="14.25" customHeight="1">
      <c r="G4803" s="3" t="s">
        <v>4851</v>
      </c>
    </row>
    <row r="4804" ht="14.25" customHeight="1">
      <c r="G4804" s="3" t="s">
        <v>4852</v>
      </c>
    </row>
    <row r="4805" ht="14.25" customHeight="1">
      <c r="G4805" s="3" t="s">
        <v>4853</v>
      </c>
    </row>
    <row r="4806" ht="14.25" customHeight="1">
      <c r="G4806" s="3" t="s">
        <v>4854</v>
      </c>
    </row>
    <row r="4807" ht="14.25" customHeight="1">
      <c r="G4807" s="3" t="s">
        <v>4855</v>
      </c>
    </row>
    <row r="4808" ht="14.25" customHeight="1">
      <c r="G4808" s="3" t="s">
        <v>4856</v>
      </c>
    </row>
    <row r="4809" ht="14.25" customHeight="1">
      <c r="G4809" s="3" t="s">
        <v>4857</v>
      </c>
    </row>
    <row r="4810" ht="14.25" customHeight="1">
      <c r="G4810" s="3" t="s">
        <v>4858</v>
      </c>
    </row>
    <row r="4811" ht="14.25" customHeight="1">
      <c r="G4811" s="3" t="s">
        <v>4859</v>
      </c>
    </row>
    <row r="4812" ht="14.25" customHeight="1">
      <c r="G4812" s="3" t="s">
        <v>4860</v>
      </c>
    </row>
    <row r="4813" ht="14.25" customHeight="1">
      <c r="G4813" s="3" t="s">
        <v>4861</v>
      </c>
    </row>
    <row r="4814" ht="14.25" customHeight="1">
      <c r="G4814" s="3" t="s">
        <v>4862</v>
      </c>
    </row>
    <row r="4815" ht="14.25" customHeight="1">
      <c r="G4815" s="3" t="s">
        <v>4863</v>
      </c>
    </row>
    <row r="4816" ht="14.25" customHeight="1">
      <c r="G4816" s="3" t="s">
        <v>4864</v>
      </c>
    </row>
    <row r="4817" ht="14.25" customHeight="1">
      <c r="G4817" s="3" t="s">
        <v>4865</v>
      </c>
    </row>
    <row r="4818" ht="14.25" customHeight="1">
      <c r="G4818" s="3" t="s">
        <v>4866</v>
      </c>
    </row>
    <row r="4819" ht="14.25" customHeight="1">
      <c r="G4819" s="3" t="s">
        <v>4867</v>
      </c>
    </row>
    <row r="4820" ht="14.25" customHeight="1">
      <c r="G4820" s="3" t="s">
        <v>4868</v>
      </c>
    </row>
    <row r="4821" ht="14.25" customHeight="1">
      <c r="G4821" s="3" t="s">
        <v>4869</v>
      </c>
    </row>
    <row r="4822" ht="14.25" customHeight="1">
      <c r="G4822" s="3" t="s">
        <v>4870</v>
      </c>
    </row>
    <row r="4823" ht="14.25" customHeight="1">
      <c r="G4823" s="3" t="s">
        <v>4871</v>
      </c>
    </row>
    <row r="4824" ht="14.25" customHeight="1">
      <c r="G4824" s="3" t="s">
        <v>4872</v>
      </c>
    </row>
    <row r="4825" ht="14.25" customHeight="1">
      <c r="G4825" s="3" t="s">
        <v>4873</v>
      </c>
    </row>
    <row r="4826" ht="14.25" customHeight="1">
      <c r="G4826" s="3" t="s">
        <v>4874</v>
      </c>
    </row>
    <row r="4827" ht="14.25" customHeight="1">
      <c r="G4827" s="3" t="s">
        <v>4875</v>
      </c>
    </row>
    <row r="4828" ht="14.25" customHeight="1">
      <c r="G4828" s="3" t="s">
        <v>4876</v>
      </c>
    </row>
    <row r="4829" ht="14.25" customHeight="1">
      <c r="G4829" s="3" t="s">
        <v>4877</v>
      </c>
    </row>
    <row r="4830" ht="14.25" customHeight="1">
      <c r="G4830" s="3" t="s">
        <v>4878</v>
      </c>
    </row>
    <row r="4831" ht="14.25" customHeight="1">
      <c r="G4831" s="3" t="s">
        <v>4879</v>
      </c>
    </row>
    <row r="4832" ht="14.25" customHeight="1">
      <c r="G4832" s="3" t="s">
        <v>4880</v>
      </c>
    </row>
    <row r="4833" ht="14.25" customHeight="1">
      <c r="G4833" s="3" t="s">
        <v>4881</v>
      </c>
    </row>
    <row r="4834" ht="14.25" customHeight="1">
      <c r="G4834" s="3" t="s">
        <v>4882</v>
      </c>
    </row>
    <row r="4835" ht="14.25" customHeight="1">
      <c r="G4835" s="3" t="s">
        <v>4883</v>
      </c>
    </row>
    <row r="4836" ht="14.25" customHeight="1">
      <c r="G4836" s="3" t="s">
        <v>4884</v>
      </c>
    </row>
    <row r="4837" ht="14.25" customHeight="1">
      <c r="G4837" s="3" t="s">
        <v>4885</v>
      </c>
    </row>
    <row r="4838" ht="14.25" customHeight="1">
      <c r="G4838" s="3" t="s">
        <v>4886</v>
      </c>
    </row>
    <row r="4839" ht="14.25" customHeight="1">
      <c r="G4839" s="3" t="s">
        <v>4887</v>
      </c>
    </row>
    <row r="4840" ht="14.25" customHeight="1">
      <c r="G4840" s="3" t="s">
        <v>4888</v>
      </c>
    </row>
    <row r="4841" ht="14.25" customHeight="1">
      <c r="G4841" s="3" t="s">
        <v>4889</v>
      </c>
    </row>
    <row r="4842" ht="14.25" customHeight="1">
      <c r="G4842" s="3" t="s">
        <v>4890</v>
      </c>
    </row>
    <row r="4843" ht="14.25" customHeight="1">
      <c r="G4843" s="3" t="s">
        <v>4891</v>
      </c>
    </row>
    <row r="4844" ht="14.25" customHeight="1">
      <c r="G4844" s="3" t="s">
        <v>4892</v>
      </c>
    </row>
    <row r="4845" ht="14.25" customHeight="1">
      <c r="G4845" s="3" t="s">
        <v>4893</v>
      </c>
    </row>
    <row r="4846" ht="14.25" customHeight="1">
      <c r="G4846" s="3" t="s">
        <v>4894</v>
      </c>
    </row>
    <row r="4847" ht="14.25" customHeight="1">
      <c r="G4847" s="3" t="s">
        <v>4895</v>
      </c>
    </row>
    <row r="4848" ht="14.25" customHeight="1">
      <c r="G4848" s="3" t="s">
        <v>4896</v>
      </c>
    </row>
    <row r="4849" ht="14.25" customHeight="1">
      <c r="G4849" s="3" t="s">
        <v>4897</v>
      </c>
    </row>
    <row r="4850" ht="14.25" customHeight="1">
      <c r="G4850" s="3" t="s">
        <v>4898</v>
      </c>
    </row>
    <row r="4851" ht="14.25" customHeight="1">
      <c r="G4851" s="3" t="s">
        <v>4899</v>
      </c>
    </row>
    <row r="4852" ht="14.25" customHeight="1">
      <c r="G4852" s="3" t="s">
        <v>4900</v>
      </c>
    </row>
    <row r="4853" ht="14.25" customHeight="1">
      <c r="G4853" s="3" t="s">
        <v>4901</v>
      </c>
    </row>
    <row r="4854" ht="14.25" customHeight="1">
      <c r="G4854" s="3" t="s">
        <v>4902</v>
      </c>
    </row>
    <row r="4855" ht="14.25" customHeight="1">
      <c r="G4855" s="3" t="s">
        <v>4903</v>
      </c>
    </row>
    <row r="4856" ht="14.25" customHeight="1">
      <c r="G4856" s="3" t="s">
        <v>4904</v>
      </c>
    </row>
    <row r="4857" ht="14.25" customHeight="1">
      <c r="G4857" s="3" t="s">
        <v>4905</v>
      </c>
    </row>
    <row r="4858" ht="14.25" customHeight="1">
      <c r="G4858" s="3" t="s">
        <v>4906</v>
      </c>
    </row>
    <row r="4859" ht="14.25" customHeight="1">
      <c r="G4859" s="3" t="s">
        <v>4907</v>
      </c>
    </row>
    <row r="4860" ht="14.25" customHeight="1">
      <c r="G4860" s="3" t="s">
        <v>4908</v>
      </c>
    </row>
    <row r="4861" ht="14.25" customHeight="1">
      <c r="G4861" s="3" t="s">
        <v>4909</v>
      </c>
    </row>
    <row r="4862" ht="14.25" customHeight="1">
      <c r="G4862" s="3" t="s">
        <v>4910</v>
      </c>
    </row>
    <row r="4863" ht="14.25" customHeight="1">
      <c r="G4863" s="3" t="s">
        <v>4911</v>
      </c>
    </row>
    <row r="4864" ht="14.25" customHeight="1">
      <c r="G4864" s="3" t="s">
        <v>4912</v>
      </c>
    </row>
    <row r="4865" ht="14.25" customHeight="1">
      <c r="G4865" s="3" t="s">
        <v>4913</v>
      </c>
    </row>
    <row r="4866" ht="14.25" customHeight="1">
      <c r="G4866" s="3" t="s">
        <v>4914</v>
      </c>
    </row>
    <row r="4867" ht="14.25" customHeight="1">
      <c r="G4867" s="3" t="s">
        <v>4915</v>
      </c>
    </row>
    <row r="4868" ht="14.25" customHeight="1">
      <c r="G4868" s="3" t="s">
        <v>4916</v>
      </c>
    </row>
    <row r="4869" ht="14.25" customHeight="1">
      <c r="G4869" s="3" t="s">
        <v>4917</v>
      </c>
    </row>
    <row r="4870" ht="14.25" customHeight="1">
      <c r="G4870" s="3" t="s">
        <v>4918</v>
      </c>
    </row>
    <row r="4871" ht="14.25" customHeight="1">
      <c r="G4871" s="3" t="s">
        <v>4919</v>
      </c>
    </row>
    <row r="4872" ht="14.25" customHeight="1">
      <c r="G4872" s="3" t="s">
        <v>4920</v>
      </c>
    </row>
    <row r="4873" ht="14.25" customHeight="1">
      <c r="G4873" s="3" t="s">
        <v>4921</v>
      </c>
    </row>
    <row r="4874" ht="14.25" customHeight="1">
      <c r="G4874" s="3" t="s">
        <v>4922</v>
      </c>
    </row>
    <row r="4875" ht="14.25" customHeight="1">
      <c r="G4875" s="3" t="s">
        <v>4923</v>
      </c>
    </row>
    <row r="4876" ht="14.25" customHeight="1">
      <c r="G4876" s="3" t="s">
        <v>4924</v>
      </c>
    </row>
    <row r="4877" ht="14.25" customHeight="1">
      <c r="G4877" s="3" t="s">
        <v>4925</v>
      </c>
    </row>
    <row r="4878" ht="14.25" customHeight="1">
      <c r="G4878" s="3" t="s">
        <v>4926</v>
      </c>
    </row>
    <row r="4879" ht="14.25" customHeight="1">
      <c r="G4879" s="3" t="s">
        <v>4927</v>
      </c>
    </row>
    <row r="4880" ht="14.25" customHeight="1">
      <c r="G4880" s="3" t="s">
        <v>4928</v>
      </c>
    </row>
    <row r="4881" ht="14.25" customHeight="1">
      <c r="G4881" s="3" t="s">
        <v>4929</v>
      </c>
    </row>
    <row r="4882" ht="14.25" customHeight="1">
      <c r="G4882" s="3" t="s">
        <v>4930</v>
      </c>
    </row>
    <row r="4883" ht="14.25" customHeight="1">
      <c r="G4883" s="3" t="s">
        <v>4931</v>
      </c>
    </row>
    <row r="4884" ht="14.25" customHeight="1">
      <c r="G4884" s="3" t="s">
        <v>4932</v>
      </c>
    </row>
    <row r="4885" ht="14.25" customHeight="1">
      <c r="G4885" s="3" t="s">
        <v>4933</v>
      </c>
    </row>
    <row r="4886" ht="14.25" customHeight="1">
      <c r="G4886" s="3" t="s">
        <v>4934</v>
      </c>
    </row>
    <row r="4887" ht="14.25" customHeight="1">
      <c r="G4887" s="3" t="s">
        <v>4935</v>
      </c>
    </row>
    <row r="4888" ht="14.25" customHeight="1">
      <c r="G4888" s="3" t="s">
        <v>4936</v>
      </c>
    </row>
    <row r="4889" ht="14.25" customHeight="1">
      <c r="G4889" s="3" t="s">
        <v>4937</v>
      </c>
    </row>
    <row r="4890" ht="14.25" customHeight="1">
      <c r="G4890" s="3" t="s">
        <v>4938</v>
      </c>
    </row>
    <row r="4891" ht="14.25" customHeight="1">
      <c r="G4891" s="3" t="s">
        <v>4939</v>
      </c>
    </row>
    <row r="4892" ht="14.25" customHeight="1">
      <c r="G4892" s="3" t="s">
        <v>4940</v>
      </c>
    </row>
    <row r="4893" ht="14.25" customHeight="1">
      <c r="G4893" s="3" t="s">
        <v>4941</v>
      </c>
    </row>
    <row r="4894" ht="14.25" customHeight="1">
      <c r="G4894" s="3" t="s">
        <v>4942</v>
      </c>
    </row>
    <row r="4895" ht="14.25" customHeight="1">
      <c r="G4895" s="3" t="s">
        <v>4943</v>
      </c>
    </row>
    <row r="4896" ht="14.25" customHeight="1">
      <c r="G4896" s="3" t="s">
        <v>4944</v>
      </c>
    </row>
    <row r="4897" ht="14.25" customHeight="1">
      <c r="G4897" s="3" t="s">
        <v>4945</v>
      </c>
    </row>
    <row r="4898" ht="14.25" customHeight="1">
      <c r="G4898" s="3" t="s">
        <v>4946</v>
      </c>
    </row>
    <row r="4899" ht="14.25" customHeight="1">
      <c r="G4899" s="3" t="s">
        <v>4947</v>
      </c>
    </row>
    <row r="4900" ht="14.25" customHeight="1">
      <c r="G4900" s="3" t="s">
        <v>4948</v>
      </c>
    </row>
    <row r="4901" ht="14.25" customHeight="1">
      <c r="G4901" s="3" t="s">
        <v>4949</v>
      </c>
    </row>
    <row r="4902" ht="14.25" customHeight="1">
      <c r="G4902" s="3" t="s">
        <v>4950</v>
      </c>
    </row>
    <row r="4903" ht="14.25" customHeight="1">
      <c r="G4903" s="3" t="s">
        <v>4951</v>
      </c>
    </row>
    <row r="4904" ht="14.25" customHeight="1">
      <c r="G4904" s="3" t="s">
        <v>4952</v>
      </c>
    </row>
    <row r="4905" ht="14.25" customHeight="1">
      <c r="G4905" s="3" t="s">
        <v>4953</v>
      </c>
    </row>
    <row r="4906" ht="14.25" customHeight="1">
      <c r="G4906" s="3" t="s">
        <v>4954</v>
      </c>
    </row>
    <row r="4907" ht="14.25" customHeight="1">
      <c r="G4907" s="3" t="s">
        <v>4955</v>
      </c>
    </row>
    <row r="4908" ht="14.25" customHeight="1">
      <c r="G4908" s="3" t="s">
        <v>4956</v>
      </c>
    </row>
    <row r="4909" ht="14.25" customHeight="1">
      <c r="G4909" s="3" t="s">
        <v>4957</v>
      </c>
    </row>
    <row r="4910" ht="14.25" customHeight="1">
      <c r="G4910" s="3" t="s">
        <v>4958</v>
      </c>
    </row>
    <row r="4911" ht="14.25" customHeight="1">
      <c r="G4911" s="3" t="s">
        <v>4959</v>
      </c>
    </row>
    <row r="4912" ht="14.25" customHeight="1">
      <c r="G4912" s="3" t="s">
        <v>4960</v>
      </c>
    </row>
    <row r="4913" ht="14.25" customHeight="1">
      <c r="G4913" s="3" t="s">
        <v>4961</v>
      </c>
    </row>
    <row r="4914" ht="14.25" customHeight="1">
      <c r="G4914" s="3" t="s">
        <v>4962</v>
      </c>
    </row>
    <row r="4915" ht="14.25" customHeight="1">
      <c r="G4915" s="3" t="s">
        <v>4963</v>
      </c>
    </row>
    <row r="4916" ht="14.25" customHeight="1">
      <c r="G4916" s="3" t="s">
        <v>4964</v>
      </c>
    </row>
    <row r="4917" ht="14.25" customHeight="1">
      <c r="G4917" s="3" t="s">
        <v>4965</v>
      </c>
    </row>
    <row r="4918" ht="14.25" customHeight="1">
      <c r="G4918" s="3" t="s">
        <v>4966</v>
      </c>
    </row>
    <row r="4919" ht="14.25" customHeight="1">
      <c r="G4919" s="3" t="s">
        <v>4967</v>
      </c>
    </row>
    <row r="4920" ht="14.25" customHeight="1">
      <c r="G4920" s="3" t="s">
        <v>4968</v>
      </c>
    </row>
    <row r="4921" ht="14.25" customHeight="1">
      <c r="G4921" s="3" t="s">
        <v>4969</v>
      </c>
    </row>
    <row r="4922" ht="14.25" customHeight="1">
      <c r="G4922" s="3" t="s">
        <v>4970</v>
      </c>
    </row>
    <row r="4923" ht="14.25" customHeight="1">
      <c r="G4923" s="3" t="s">
        <v>4971</v>
      </c>
    </row>
    <row r="4924" ht="14.25" customHeight="1">
      <c r="G4924" s="3" t="s">
        <v>4972</v>
      </c>
    </row>
    <row r="4925" ht="14.25" customHeight="1">
      <c r="G4925" s="3" t="s">
        <v>4973</v>
      </c>
    </row>
    <row r="4926" ht="14.25" customHeight="1">
      <c r="G4926" s="3" t="s">
        <v>4974</v>
      </c>
    </row>
    <row r="4927" ht="14.25" customHeight="1">
      <c r="G4927" s="3" t="s">
        <v>4975</v>
      </c>
    </row>
    <row r="4928" ht="14.25" customHeight="1">
      <c r="G4928" s="3" t="s">
        <v>4976</v>
      </c>
    </row>
    <row r="4929" ht="14.25" customHeight="1">
      <c r="G4929" s="3" t="s">
        <v>4977</v>
      </c>
    </row>
    <row r="4930" ht="14.25" customHeight="1">
      <c r="G4930" s="3" t="s">
        <v>4978</v>
      </c>
    </row>
    <row r="4931" ht="14.25" customHeight="1">
      <c r="G4931" s="3" t="s">
        <v>4979</v>
      </c>
    </row>
    <row r="4932" ht="14.25" customHeight="1">
      <c r="G4932" s="3" t="s">
        <v>4980</v>
      </c>
    </row>
    <row r="4933" ht="14.25" customHeight="1">
      <c r="G4933" s="3" t="s">
        <v>4981</v>
      </c>
    </row>
    <row r="4934" ht="14.25" customHeight="1">
      <c r="G4934" s="3" t="s">
        <v>4982</v>
      </c>
    </row>
    <row r="4935" ht="14.25" customHeight="1">
      <c r="G4935" s="3" t="s">
        <v>4983</v>
      </c>
    </row>
    <row r="4936" ht="14.25" customHeight="1">
      <c r="G4936" s="3" t="s">
        <v>4984</v>
      </c>
    </row>
    <row r="4937" ht="14.25" customHeight="1">
      <c r="G4937" s="3" t="s">
        <v>4985</v>
      </c>
    </row>
    <row r="4938" ht="14.25" customHeight="1">
      <c r="G4938" s="3" t="s">
        <v>4986</v>
      </c>
    </row>
    <row r="4939" ht="14.25" customHeight="1">
      <c r="G4939" s="3" t="s">
        <v>4987</v>
      </c>
    </row>
    <row r="4940" ht="14.25" customHeight="1">
      <c r="G4940" s="3" t="s">
        <v>4988</v>
      </c>
    </row>
    <row r="4941" ht="14.25" customHeight="1">
      <c r="G4941" s="3" t="s">
        <v>4989</v>
      </c>
    </row>
    <row r="4942" ht="14.25" customHeight="1">
      <c r="G4942" s="3" t="s">
        <v>4990</v>
      </c>
    </row>
    <row r="4943" ht="14.25" customHeight="1">
      <c r="G4943" s="3" t="s">
        <v>4991</v>
      </c>
    </row>
    <row r="4944" ht="14.25" customHeight="1">
      <c r="G4944" s="3" t="s">
        <v>4992</v>
      </c>
    </row>
    <row r="4945" ht="14.25" customHeight="1">
      <c r="G4945" s="3" t="s">
        <v>4993</v>
      </c>
    </row>
    <row r="4946" ht="14.25" customHeight="1">
      <c r="G4946" s="3" t="s">
        <v>4994</v>
      </c>
    </row>
    <row r="4947" ht="14.25" customHeight="1">
      <c r="G4947" s="3" t="s">
        <v>4995</v>
      </c>
    </row>
    <row r="4948" ht="14.25" customHeight="1">
      <c r="G4948" s="3" t="s">
        <v>4996</v>
      </c>
    </row>
    <row r="4949" ht="14.25" customHeight="1">
      <c r="G4949" s="3" t="s">
        <v>4997</v>
      </c>
    </row>
    <row r="4950" ht="14.25" customHeight="1">
      <c r="G4950" s="3" t="s">
        <v>4998</v>
      </c>
    </row>
    <row r="4951" ht="14.25" customHeight="1">
      <c r="G4951" s="3" t="s">
        <v>4999</v>
      </c>
    </row>
    <row r="4952" ht="14.25" customHeight="1">
      <c r="G4952" s="3" t="s">
        <v>5000</v>
      </c>
    </row>
    <row r="4953" ht="14.25" customHeight="1">
      <c r="G4953" s="3" t="s">
        <v>5001</v>
      </c>
    </row>
    <row r="4954" ht="14.25" customHeight="1">
      <c r="G4954" s="3" t="s">
        <v>5002</v>
      </c>
    </row>
    <row r="4955" ht="14.25" customHeight="1">
      <c r="G4955" s="3" t="s">
        <v>5003</v>
      </c>
    </row>
    <row r="4956" ht="14.25" customHeight="1">
      <c r="G4956" s="3" t="s">
        <v>5004</v>
      </c>
    </row>
    <row r="4957" ht="14.25" customHeight="1">
      <c r="G4957" s="3" t="s">
        <v>5005</v>
      </c>
    </row>
    <row r="4958" ht="14.25" customHeight="1">
      <c r="G4958" s="3" t="s">
        <v>5006</v>
      </c>
    </row>
    <row r="4959" ht="14.25" customHeight="1">
      <c r="G4959" s="3" t="s">
        <v>5007</v>
      </c>
    </row>
    <row r="4960" ht="14.25" customHeight="1">
      <c r="G4960" s="3" t="s">
        <v>5008</v>
      </c>
    </row>
    <row r="4961" ht="14.25" customHeight="1">
      <c r="G4961" s="3" t="s">
        <v>5009</v>
      </c>
    </row>
    <row r="4962" ht="14.25" customHeight="1">
      <c r="G4962" s="3" t="s">
        <v>5010</v>
      </c>
    </row>
    <row r="4963" ht="14.25" customHeight="1">
      <c r="G4963" s="3" t="s">
        <v>5011</v>
      </c>
    </row>
    <row r="4964" ht="14.25" customHeight="1">
      <c r="G4964" s="3" t="s">
        <v>5012</v>
      </c>
    </row>
    <row r="4965" ht="14.25" customHeight="1">
      <c r="G4965" s="3" t="s">
        <v>5013</v>
      </c>
    </row>
    <row r="4966" ht="14.25" customHeight="1">
      <c r="G4966" s="3" t="s">
        <v>5014</v>
      </c>
    </row>
    <row r="4967" ht="14.25" customHeight="1">
      <c r="G4967" s="3" t="s">
        <v>5015</v>
      </c>
    </row>
    <row r="4968" ht="14.25" customHeight="1">
      <c r="G4968" s="3" t="s">
        <v>5016</v>
      </c>
    </row>
    <row r="4969" ht="14.25" customHeight="1">
      <c r="G4969" s="3" t="s">
        <v>5017</v>
      </c>
    </row>
    <row r="4970" ht="14.25" customHeight="1">
      <c r="G4970" s="3" t="s">
        <v>5018</v>
      </c>
    </row>
    <row r="4971" ht="14.25" customHeight="1">
      <c r="G4971" s="3" t="s">
        <v>5019</v>
      </c>
    </row>
    <row r="4972" ht="14.25" customHeight="1">
      <c r="G4972" s="3" t="s">
        <v>5020</v>
      </c>
    </row>
    <row r="4973" ht="14.25" customHeight="1">
      <c r="G4973" s="3" t="s">
        <v>5021</v>
      </c>
    </row>
    <row r="4974" ht="14.25" customHeight="1">
      <c r="G4974" s="3" t="s">
        <v>5022</v>
      </c>
    </row>
    <row r="4975" ht="14.25" customHeight="1">
      <c r="G4975" s="3" t="s">
        <v>5023</v>
      </c>
    </row>
    <row r="4976" ht="14.25" customHeight="1">
      <c r="G4976" s="3" t="s">
        <v>5024</v>
      </c>
    </row>
    <row r="4977" ht="14.25" customHeight="1">
      <c r="G4977" s="3" t="s">
        <v>5025</v>
      </c>
    </row>
    <row r="4978" ht="14.25" customHeight="1">
      <c r="G4978" s="3" t="s">
        <v>5026</v>
      </c>
    </row>
    <row r="4979" ht="14.25" customHeight="1">
      <c r="G4979" s="3" t="s">
        <v>5027</v>
      </c>
    </row>
    <row r="4980" ht="14.25" customHeight="1">
      <c r="G4980" s="3" t="s">
        <v>5028</v>
      </c>
    </row>
    <row r="4981" ht="14.25" customHeight="1">
      <c r="G4981" s="3" t="s">
        <v>5029</v>
      </c>
    </row>
    <row r="4982" ht="14.25" customHeight="1">
      <c r="G4982" s="3" t="s">
        <v>5030</v>
      </c>
    </row>
    <row r="4983" ht="14.25" customHeight="1">
      <c r="G4983" s="3" t="s">
        <v>5031</v>
      </c>
    </row>
    <row r="4984" ht="14.25" customHeight="1">
      <c r="G4984" s="3" t="s">
        <v>5032</v>
      </c>
    </row>
    <row r="4985" ht="14.25" customHeight="1">
      <c r="G4985" s="3" t="s">
        <v>5033</v>
      </c>
    </row>
    <row r="4986" ht="14.25" customHeight="1">
      <c r="G4986" s="3" t="s">
        <v>5034</v>
      </c>
    </row>
    <row r="4987" ht="14.25" customHeight="1">
      <c r="G4987" s="3" t="s">
        <v>5035</v>
      </c>
    </row>
    <row r="4988" ht="14.25" customHeight="1">
      <c r="G4988" s="3" t="s">
        <v>5036</v>
      </c>
    </row>
    <row r="4989" ht="14.25" customHeight="1">
      <c r="G4989" s="3" t="s">
        <v>5037</v>
      </c>
    </row>
    <row r="4990" ht="14.25" customHeight="1">
      <c r="G4990" s="3" t="s">
        <v>5038</v>
      </c>
    </row>
    <row r="4991" ht="14.25" customHeight="1">
      <c r="G4991" s="3" t="s">
        <v>5039</v>
      </c>
    </row>
    <row r="4992" ht="14.25" customHeight="1">
      <c r="G4992" s="3" t="s">
        <v>5040</v>
      </c>
    </row>
    <row r="4993" ht="14.25" customHeight="1">
      <c r="G4993" s="3" t="s">
        <v>5041</v>
      </c>
    </row>
    <row r="4994" ht="14.25" customHeight="1">
      <c r="G4994" s="3" t="s">
        <v>5042</v>
      </c>
    </row>
    <row r="4995" ht="14.25" customHeight="1">
      <c r="G4995" s="3" t="s">
        <v>5043</v>
      </c>
    </row>
    <row r="4996" ht="14.25" customHeight="1">
      <c r="G4996" s="3" t="s">
        <v>5044</v>
      </c>
    </row>
    <row r="4997" ht="14.25" customHeight="1">
      <c r="G4997" s="3" t="s">
        <v>5045</v>
      </c>
    </row>
    <row r="4998" ht="14.25" customHeight="1">
      <c r="G4998" s="3" t="s">
        <v>5046</v>
      </c>
    </row>
    <row r="4999" ht="14.25" customHeight="1">
      <c r="G4999" s="3" t="s">
        <v>5047</v>
      </c>
    </row>
    <row r="5000" ht="14.25" customHeight="1">
      <c r="G5000" s="3" t="s">
        <v>5048</v>
      </c>
    </row>
    <row r="5001" ht="14.25" customHeight="1">
      <c r="G5001" s="3" t="s">
        <v>5049</v>
      </c>
    </row>
    <row r="5002" ht="14.25" customHeight="1">
      <c r="G5002" s="3" t="s">
        <v>5050</v>
      </c>
    </row>
    <row r="5003" ht="14.25" customHeight="1">
      <c r="G5003" s="3" t="s">
        <v>5051</v>
      </c>
    </row>
    <row r="5004" ht="14.25" customHeight="1">
      <c r="G5004" s="3" t="s">
        <v>5052</v>
      </c>
    </row>
    <row r="5005" ht="14.25" customHeight="1">
      <c r="G5005" s="3" t="s">
        <v>5053</v>
      </c>
    </row>
    <row r="5006" ht="14.25" customHeight="1">
      <c r="G5006" s="3" t="s">
        <v>5054</v>
      </c>
    </row>
    <row r="5007" ht="14.25" customHeight="1">
      <c r="G5007" s="3" t="s">
        <v>5055</v>
      </c>
    </row>
    <row r="5008" ht="14.25" customHeight="1">
      <c r="G5008" s="3" t="s">
        <v>5056</v>
      </c>
    </row>
    <row r="5009" ht="14.25" customHeight="1">
      <c r="G5009" s="3" t="s">
        <v>5057</v>
      </c>
    </row>
    <row r="5010" ht="14.25" customHeight="1">
      <c r="G5010" s="3" t="s">
        <v>5058</v>
      </c>
    </row>
    <row r="5011" ht="14.25" customHeight="1">
      <c r="G5011" s="3" t="s">
        <v>5059</v>
      </c>
    </row>
    <row r="5012" ht="14.25" customHeight="1">
      <c r="G5012" s="3" t="s">
        <v>5060</v>
      </c>
    </row>
    <row r="5013" ht="14.25" customHeight="1">
      <c r="G5013" s="3" t="s">
        <v>5061</v>
      </c>
    </row>
    <row r="5014" ht="14.25" customHeight="1">
      <c r="G5014" s="3" t="s">
        <v>5062</v>
      </c>
    </row>
    <row r="5015" ht="14.25" customHeight="1">
      <c r="G5015" s="3" t="s">
        <v>5063</v>
      </c>
    </row>
    <row r="5016" ht="14.25" customHeight="1">
      <c r="G5016" s="3" t="s">
        <v>5064</v>
      </c>
    </row>
    <row r="5017" ht="14.25" customHeight="1">
      <c r="G5017" s="3" t="s">
        <v>5065</v>
      </c>
    </row>
    <row r="5018" ht="14.25" customHeight="1">
      <c r="G5018" s="3" t="s">
        <v>5066</v>
      </c>
    </row>
    <row r="5019" ht="14.25" customHeight="1">
      <c r="G5019" s="3" t="s">
        <v>5067</v>
      </c>
    </row>
    <row r="5020" ht="14.25" customHeight="1">
      <c r="G5020" s="3" t="s">
        <v>5068</v>
      </c>
    </row>
    <row r="5021" ht="14.25" customHeight="1">
      <c r="G5021" s="3" t="s">
        <v>5069</v>
      </c>
    </row>
    <row r="5022" ht="14.25" customHeight="1">
      <c r="G5022" s="3" t="s">
        <v>5070</v>
      </c>
    </row>
    <row r="5023" ht="14.25" customHeight="1">
      <c r="G5023" s="3" t="s">
        <v>5071</v>
      </c>
    </row>
    <row r="5024" ht="14.25" customHeight="1">
      <c r="G5024" s="3" t="s">
        <v>5072</v>
      </c>
    </row>
    <row r="5025" ht="14.25" customHeight="1">
      <c r="G5025" s="3" t="s">
        <v>5073</v>
      </c>
    </row>
    <row r="5026" ht="14.25" customHeight="1">
      <c r="G5026" s="3" t="s">
        <v>5074</v>
      </c>
    </row>
    <row r="5027" ht="14.25" customHeight="1">
      <c r="G5027" s="3" t="s">
        <v>5075</v>
      </c>
    </row>
    <row r="5028" ht="14.25" customHeight="1">
      <c r="G5028" s="3" t="s">
        <v>5076</v>
      </c>
    </row>
    <row r="5029" ht="14.25" customHeight="1">
      <c r="G5029" s="3" t="s">
        <v>5077</v>
      </c>
    </row>
    <row r="5030" ht="14.25" customHeight="1">
      <c r="G5030" s="3" t="s">
        <v>5078</v>
      </c>
    </row>
    <row r="5031" ht="14.25" customHeight="1">
      <c r="G5031" s="3" t="s">
        <v>5079</v>
      </c>
    </row>
    <row r="5032" ht="14.25" customHeight="1">
      <c r="G5032" s="3" t="s">
        <v>5080</v>
      </c>
    </row>
    <row r="5033" ht="14.25" customHeight="1">
      <c r="G5033" s="3" t="s">
        <v>5081</v>
      </c>
    </row>
    <row r="5034" ht="14.25" customHeight="1">
      <c r="G5034" s="3" t="s">
        <v>5082</v>
      </c>
    </row>
    <row r="5035" ht="14.25" customHeight="1">
      <c r="G5035" s="3" t="s">
        <v>5083</v>
      </c>
    </row>
    <row r="5036" ht="14.25" customHeight="1">
      <c r="G5036" s="3" t="s">
        <v>5084</v>
      </c>
    </row>
    <row r="5037" ht="14.25" customHeight="1">
      <c r="G5037" s="3" t="s">
        <v>5085</v>
      </c>
    </row>
    <row r="5038" ht="14.25" customHeight="1">
      <c r="G5038" s="3" t="s">
        <v>5086</v>
      </c>
    </row>
    <row r="5039" ht="14.25" customHeight="1">
      <c r="G5039" s="3" t="s">
        <v>5087</v>
      </c>
    </row>
    <row r="5040" ht="14.25" customHeight="1">
      <c r="G5040" s="3" t="s">
        <v>5088</v>
      </c>
    </row>
    <row r="5041" ht="14.25" customHeight="1">
      <c r="G5041" s="3" t="s">
        <v>5089</v>
      </c>
    </row>
    <row r="5042" ht="14.25" customHeight="1">
      <c r="G5042" s="3" t="s">
        <v>5090</v>
      </c>
    </row>
    <row r="5043" ht="14.25" customHeight="1">
      <c r="G5043" s="3" t="s">
        <v>5091</v>
      </c>
    </row>
    <row r="5044" ht="14.25" customHeight="1">
      <c r="G5044" s="3" t="s">
        <v>5092</v>
      </c>
    </row>
    <row r="5045" ht="14.25" customHeight="1">
      <c r="G5045" s="3" t="s">
        <v>5093</v>
      </c>
    </row>
    <row r="5046" ht="14.25" customHeight="1">
      <c r="G5046" s="3" t="s">
        <v>5094</v>
      </c>
    </row>
    <row r="5047" ht="14.25" customHeight="1">
      <c r="G5047" s="3" t="s">
        <v>5095</v>
      </c>
    </row>
    <row r="5048" ht="14.25" customHeight="1">
      <c r="G5048" s="3" t="s">
        <v>5096</v>
      </c>
    </row>
    <row r="5049" ht="14.25" customHeight="1">
      <c r="G5049" s="3" t="s">
        <v>5097</v>
      </c>
    </row>
    <row r="5050" ht="14.25" customHeight="1">
      <c r="G5050" s="3" t="s">
        <v>5098</v>
      </c>
    </row>
    <row r="5051" ht="14.25" customHeight="1">
      <c r="G5051" s="3" t="s">
        <v>5099</v>
      </c>
    </row>
    <row r="5052" ht="14.25" customHeight="1">
      <c r="G5052" s="3" t="s">
        <v>5100</v>
      </c>
    </row>
    <row r="5053" ht="14.25" customHeight="1">
      <c r="G5053" s="3" t="s">
        <v>5101</v>
      </c>
    </row>
    <row r="5054" ht="14.25" customHeight="1">
      <c r="G5054" s="3" t="s">
        <v>5102</v>
      </c>
    </row>
    <row r="5055" ht="14.25" customHeight="1">
      <c r="G5055" s="3" t="s">
        <v>5103</v>
      </c>
    </row>
    <row r="5056" ht="14.25" customHeight="1">
      <c r="G5056" s="3" t="s">
        <v>5104</v>
      </c>
    </row>
    <row r="5057" ht="14.25" customHeight="1">
      <c r="G5057" s="3" t="s">
        <v>5105</v>
      </c>
    </row>
    <row r="5058" ht="14.25" customHeight="1">
      <c r="G5058" s="3" t="s">
        <v>5106</v>
      </c>
    </row>
    <row r="5059" ht="14.25" customHeight="1">
      <c r="G5059" s="3" t="s">
        <v>5107</v>
      </c>
    </row>
    <row r="5060" ht="14.25" customHeight="1">
      <c r="G5060" s="3" t="s">
        <v>5108</v>
      </c>
    </row>
    <row r="5061" ht="14.25" customHeight="1">
      <c r="G5061" s="3" t="s">
        <v>5109</v>
      </c>
    </row>
    <row r="5062" ht="14.25" customHeight="1">
      <c r="G5062" s="3" t="s">
        <v>5110</v>
      </c>
    </row>
    <row r="5063" ht="14.25" customHeight="1">
      <c r="G5063" s="3" t="s">
        <v>5111</v>
      </c>
    </row>
    <row r="5064" ht="14.25" customHeight="1">
      <c r="G5064" s="3" t="s">
        <v>5112</v>
      </c>
    </row>
    <row r="5065" ht="14.25" customHeight="1">
      <c r="G5065" s="3" t="s">
        <v>5113</v>
      </c>
    </row>
    <row r="5066" ht="14.25" customHeight="1">
      <c r="G5066" s="3" t="s">
        <v>5114</v>
      </c>
    </row>
    <row r="5067" ht="14.25" customHeight="1">
      <c r="G5067" s="3" t="s">
        <v>5115</v>
      </c>
    </row>
    <row r="5068" ht="14.25" customHeight="1">
      <c r="G5068" s="3" t="s">
        <v>5116</v>
      </c>
    </row>
    <row r="5069" ht="14.25" customHeight="1">
      <c r="G5069" s="3" t="s">
        <v>5117</v>
      </c>
    </row>
    <row r="5070" ht="14.25" customHeight="1">
      <c r="G5070" s="3" t="s">
        <v>5118</v>
      </c>
    </row>
    <row r="5071" ht="14.25" customHeight="1">
      <c r="G5071" s="3" t="s">
        <v>5119</v>
      </c>
    </row>
    <row r="5072" ht="14.25" customHeight="1">
      <c r="G5072" s="3" t="s">
        <v>5120</v>
      </c>
    </row>
    <row r="5073" ht="14.25" customHeight="1">
      <c r="G5073" s="3" t="s">
        <v>5121</v>
      </c>
    </row>
    <row r="5074" ht="14.25" customHeight="1">
      <c r="G5074" s="3" t="s">
        <v>5122</v>
      </c>
    </row>
    <row r="5075" ht="14.25" customHeight="1">
      <c r="G5075" s="3" t="s">
        <v>5123</v>
      </c>
    </row>
    <row r="5076" ht="14.25" customHeight="1">
      <c r="G5076" s="3" t="s">
        <v>5124</v>
      </c>
    </row>
    <row r="5077" ht="14.25" customHeight="1">
      <c r="G5077" s="3" t="s">
        <v>5125</v>
      </c>
    </row>
    <row r="5078" ht="14.25" customHeight="1">
      <c r="G5078" s="3" t="s">
        <v>5126</v>
      </c>
    </row>
    <row r="5079" ht="14.25" customHeight="1">
      <c r="G5079" s="3" t="s">
        <v>5127</v>
      </c>
    </row>
    <row r="5080" ht="14.25" customHeight="1">
      <c r="G5080" s="3" t="s">
        <v>5128</v>
      </c>
    </row>
    <row r="5081" ht="14.25" customHeight="1">
      <c r="G5081" s="3" t="s">
        <v>5129</v>
      </c>
    </row>
    <row r="5082" ht="14.25" customHeight="1">
      <c r="G5082" s="3" t="s">
        <v>5130</v>
      </c>
    </row>
    <row r="5083" ht="14.25" customHeight="1">
      <c r="G5083" s="3" t="s">
        <v>5131</v>
      </c>
    </row>
    <row r="5084" ht="14.25" customHeight="1">
      <c r="G5084" s="3" t="s">
        <v>5132</v>
      </c>
    </row>
    <row r="5085" ht="14.25" customHeight="1">
      <c r="G5085" s="3" t="s">
        <v>5133</v>
      </c>
    </row>
    <row r="5086" ht="14.25" customHeight="1">
      <c r="G5086" s="3" t="s">
        <v>5134</v>
      </c>
    </row>
    <row r="5087" ht="14.25" customHeight="1">
      <c r="G5087" s="3" t="s">
        <v>5135</v>
      </c>
    </row>
    <row r="5088" ht="14.25" customHeight="1">
      <c r="G5088" s="3" t="s">
        <v>5136</v>
      </c>
    </row>
    <row r="5089" ht="14.25" customHeight="1">
      <c r="G5089" s="3" t="s">
        <v>5137</v>
      </c>
    </row>
    <row r="5090" ht="14.25" customHeight="1">
      <c r="G5090" s="3" t="s">
        <v>5138</v>
      </c>
    </row>
    <row r="5091" ht="14.25" customHeight="1">
      <c r="G5091" s="3" t="s">
        <v>5139</v>
      </c>
    </row>
    <row r="5092" ht="14.25" customHeight="1">
      <c r="G5092" s="3" t="s">
        <v>5140</v>
      </c>
    </row>
    <row r="5093" ht="14.25" customHeight="1">
      <c r="G5093" s="3" t="s">
        <v>5141</v>
      </c>
    </row>
    <row r="5094" ht="14.25" customHeight="1">
      <c r="G5094" s="3" t="s">
        <v>5142</v>
      </c>
    </row>
    <row r="5095" ht="14.25" customHeight="1">
      <c r="G5095" s="3" t="s">
        <v>5143</v>
      </c>
    </row>
    <row r="5096" ht="14.25" customHeight="1">
      <c r="G5096" s="3" t="s">
        <v>5144</v>
      </c>
    </row>
    <row r="5097" ht="14.25" customHeight="1">
      <c r="G5097" s="3" t="s">
        <v>5145</v>
      </c>
    </row>
    <row r="5098" ht="14.25" customHeight="1">
      <c r="G5098" s="3" t="s">
        <v>5146</v>
      </c>
    </row>
    <row r="5099" ht="14.25" customHeight="1">
      <c r="G5099" s="3" t="s">
        <v>5147</v>
      </c>
    </row>
    <row r="5100" ht="14.25" customHeight="1">
      <c r="G5100" s="3" t="s">
        <v>5148</v>
      </c>
    </row>
    <row r="5101" ht="14.25" customHeight="1">
      <c r="G5101" s="3" t="s">
        <v>5149</v>
      </c>
    </row>
    <row r="5102" ht="14.25" customHeight="1">
      <c r="G5102" s="3" t="s">
        <v>5150</v>
      </c>
    </row>
    <row r="5103" ht="14.25" customHeight="1">
      <c r="G5103" s="3" t="s">
        <v>5151</v>
      </c>
    </row>
    <row r="5104" ht="14.25" customHeight="1">
      <c r="G5104" s="3" t="s">
        <v>5152</v>
      </c>
    </row>
    <row r="5105" ht="14.25" customHeight="1">
      <c r="G5105" s="3" t="s">
        <v>5153</v>
      </c>
    </row>
    <row r="5106" ht="14.25" customHeight="1">
      <c r="G5106" s="3" t="s">
        <v>5154</v>
      </c>
    </row>
    <row r="5107" ht="14.25" customHeight="1">
      <c r="G5107" s="3" t="s">
        <v>5155</v>
      </c>
    </row>
    <row r="5108" ht="14.25" customHeight="1">
      <c r="G5108" s="3" t="s">
        <v>5156</v>
      </c>
    </row>
    <row r="5109" ht="14.25" customHeight="1">
      <c r="G5109" s="3" t="s">
        <v>5157</v>
      </c>
    </row>
    <row r="5110" ht="14.25" customHeight="1">
      <c r="G5110" s="3" t="s">
        <v>5158</v>
      </c>
    </row>
    <row r="5111" ht="14.25" customHeight="1">
      <c r="G5111" s="3" t="s">
        <v>5159</v>
      </c>
    </row>
    <row r="5112" ht="14.25" customHeight="1">
      <c r="G5112" s="3" t="s">
        <v>5160</v>
      </c>
    </row>
    <row r="5113" ht="14.25" customHeight="1">
      <c r="G5113" s="3" t="s">
        <v>5161</v>
      </c>
    </row>
    <row r="5114" ht="14.25" customHeight="1">
      <c r="G5114" s="3" t="s">
        <v>5162</v>
      </c>
    </row>
    <row r="5115" ht="14.25" customHeight="1">
      <c r="G5115" s="3" t="s">
        <v>5163</v>
      </c>
    </row>
    <row r="5116" ht="14.25" customHeight="1">
      <c r="G5116" s="3" t="s">
        <v>5164</v>
      </c>
    </row>
    <row r="5117" ht="14.25" customHeight="1">
      <c r="G5117" s="3" t="s">
        <v>5165</v>
      </c>
    </row>
    <row r="5118" ht="14.25" customHeight="1">
      <c r="G5118" s="3" t="s">
        <v>5166</v>
      </c>
    </row>
    <row r="5119" ht="14.25" customHeight="1">
      <c r="G5119" s="3" t="s">
        <v>5167</v>
      </c>
    </row>
    <row r="5120" ht="14.25" customHeight="1">
      <c r="G5120" s="3" t="s">
        <v>5168</v>
      </c>
    </row>
    <row r="5121" ht="14.25" customHeight="1">
      <c r="G5121" s="3" t="s">
        <v>5169</v>
      </c>
    </row>
    <row r="5122" ht="14.25" customHeight="1">
      <c r="G5122" s="3" t="s">
        <v>5170</v>
      </c>
    </row>
    <row r="5123" ht="14.25" customHeight="1">
      <c r="G5123" s="3" t="s">
        <v>5171</v>
      </c>
    </row>
    <row r="5124" ht="14.25" customHeight="1">
      <c r="G5124" s="3" t="s">
        <v>5172</v>
      </c>
    </row>
    <row r="5125" ht="14.25" customHeight="1">
      <c r="G5125" s="3" t="s">
        <v>5173</v>
      </c>
    </row>
    <row r="5126" ht="14.25" customHeight="1">
      <c r="G5126" s="3" t="s">
        <v>5174</v>
      </c>
    </row>
    <row r="5127" ht="14.25" customHeight="1">
      <c r="G5127" s="3" t="s">
        <v>5175</v>
      </c>
    </row>
    <row r="5128" ht="14.25" customHeight="1">
      <c r="G5128" s="3" t="s">
        <v>5176</v>
      </c>
    </row>
    <row r="5129" ht="14.25" customHeight="1">
      <c r="G5129" s="3" t="s">
        <v>5177</v>
      </c>
    </row>
    <row r="5130" ht="14.25" customHeight="1">
      <c r="G5130" s="3" t="s">
        <v>5178</v>
      </c>
    </row>
    <row r="5131" ht="14.25" customHeight="1">
      <c r="G5131" s="3" t="s">
        <v>5179</v>
      </c>
    </row>
    <row r="5132" ht="14.25" customHeight="1">
      <c r="G5132" s="3" t="s">
        <v>5180</v>
      </c>
    </row>
    <row r="5133" ht="14.25" customHeight="1">
      <c r="G5133" s="3" t="s">
        <v>5181</v>
      </c>
    </row>
    <row r="5134" ht="14.25" customHeight="1">
      <c r="G5134" s="3" t="s">
        <v>5182</v>
      </c>
    </row>
    <row r="5135" ht="14.25" customHeight="1">
      <c r="G5135" s="3" t="s">
        <v>5183</v>
      </c>
    </row>
    <row r="5136" ht="14.25" customHeight="1">
      <c r="G5136" s="3" t="s">
        <v>5184</v>
      </c>
    </row>
    <row r="5137" ht="14.25" customHeight="1">
      <c r="G5137" s="3" t="s">
        <v>5185</v>
      </c>
    </row>
    <row r="5138" ht="14.25" customHeight="1">
      <c r="G5138" s="3" t="s">
        <v>5186</v>
      </c>
    </row>
    <row r="5139" ht="14.25" customHeight="1">
      <c r="G5139" s="3" t="s">
        <v>5187</v>
      </c>
    </row>
    <row r="5140" ht="14.25" customHeight="1">
      <c r="G5140" s="3" t="s">
        <v>5188</v>
      </c>
    </row>
    <row r="5141" ht="14.25" customHeight="1">
      <c r="G5141" s="3" t="s">
        <v>5189</v>
      </c>
    </row>
    <row r="5142" ht="14.25" customHeight="1">
      <c r="G5142" s="3" t="s">
        <v>5190</v>
      </c>
    </row>
    <row r="5143" ht="14.25" customHeight="1">
      <c r="G5143" s="3" t="s">
        <v>5191</v>
      </c>
    </row>
    <row r="5144" ht="14.25" customHeight="1">
      <c r="G5144" s="3" t="s">
        <v>5192</v>
      </c>
    </row>
    <row r="5145" ht="14.25" customHeight="1">
      <c r="G5145" s="3" t="s">
        <v>5193</v>
      </c>
    </row>
    <row r="5146" ht="14.25" customHeight="1">
      <c r="G5146" s="3" t="s">
        <v>5194</v>
      </c>
    </row>
    <row r="5147" ht="14.25" customHeight="1">
      <c r="G5147" s="3" t="s">
        <v>5195</v>
      </c>
    </row>
    <row r="5148" ht="14.25" customHeight="1">
      <c r="G5148" s="3" t="s">
        <v>5196</v>
      </c>
    </row>
    <row r="5149" ht="14.25" customHeight="1">
      <c r="G5149" s="3" t="s">
        <v>5197</v>
      </c>
    </row>
    <row r="5150" ht="14.25" customHeight="1">
      <c r="G5150" s="3" t="s">
        <v>5198</v>
      </c>
    </row>
    <row r="5151" ht="14.25" customHeight="1">
      <c r="G5151" s="3" t="s">
        <v>5199</v>
      </c>
    </row>
    <row r="5152" ht="14.25" customHeight="1">
      <c r="G5152" s="3" t="s">
        <v>5200</v>
      </c>
    </row>
    <row r="5153" ht="14.25" customHeight="1">
      <c r="G5153" s="3" t="s">
        <v>5201</v>
      </c>
    </row>
    <row r="5154" ht="14.25" customHeight="1">
      <c r="G5154" s="3" t="s">
        <v>5202</v>
      </c>
    </row>
    <row r="5155" ht="14.25" customHeight="1">
      <c r="G5155" s="3" t="s">
        <v>5203</v>
      </c>
    </row>
    <row r="5156" ht="14.25" customHeight="1">
      <c r="G5156" s="3" t="s">
        <v>5204</v>
      </c>
    </row>
    <row r="5157" ht="14.25" customHeight="1">
      <c r="G5157" s="3" t="s">
        <v>5205</v>
      </c>
    </row>
    <row r="5158" ht="14.25" customHeight="1">
      <c r="G5158" s="3" t="s">
        <v>5206</v>
      </c>
    </row>
    <row r="5159" ht="14.25" customHeight="1">
      <c r="G5159" s="3" t="s">
        <v>5207</v>
      </c>
    </row>
    <row r="5160" ht="14.25" customHeight="1">
      <c r="G5160" s="3" t="s">
        <v>5208</v>
      </c>
    </row>
    <row r="5161" ht="14.25" customHeight="1">
      <c r="G5161" s="3" t="s">
        <v>5209</v>
      </c>
    </row>
    <row r="5162" ht="14.25" customHeight="1">
      <c r="G5162" s="3" t="s">
        <v>5210</v>
      </c>
    </row>
    <row r="5163" ht="14.25" customHeight="1">
      <c r="G5163" s="3" t="s">
        <v>5211</v>
      </c>
    </row>
    <row r="5164" ht="14.25" customHeight="1">
      <c r="G5164" s="3" t="s">
        <v>5212</v>
      </c>
    </row>
    <row r="5165" ht="14.25" customHeight="1">
      <c r="G5165" s="3" t="s">
        <v>5213</v>
      </c>
    </row>
    <row r="5166" ht="14.25" customHeight="1">
      <c r="G5166" s="3" t="s">
        <v>5214</v>
      </c>
    </row>
    <row r="5167" ht="14.25" customHeight="1">
      <c r="G5167" s="3" t="s">
        <v>5215</v>
      </c>
    </row>
    <row r="5168" ht="14.25" customHeight="1">
      <c r="G5168" s="3" t="s">
        <v>5216</v>
      </c>
    </row>
    <row r="5169" ht="14.25" customHeight="1">
      <c r="G5169" s="3" t="s">
        <v>5217</v>
      </c>
    </row>
    <row r="5170" ht="14.25" customHeight="1">
      <c r="G5170" s="3" t="s">
        <v>5218</v>
      </c>
    </row>
    <row r="5171" ht="14.25" customHeight="1">
      <c r="G5171" s="3" t="s">
        <v>5219</v>
      </c>
    </row>
    <row r="5172" ht="14.25" customHeight="1">
      <c r="G5172" s="3" t="s">
        <v>5220</v>
      </c>
    </row>
    <row r="5173" ht="14.25" customHeight="1">
      <c r="G5173" s="3" t="s">
        <v>5221</v>
      </c>
    </row>
    <row r="5174" ht="14.25" customHeight="1">
      <c r="G5174" s="3" t="s">
        <v>5222</v>
      </c>
    </row>
    <row r="5175" ht="14.25" customHeight="1">
      <c r="G5175" s="3" t="s">
        <v>5223</v>
      </c>
    </row>
    <row r="5176" ht="14.25" customHeight="1">
      <c r="G5176" s="3" t="s">
        <v>5224</v>
      </c>
    </row>
    <row r="5177" ht="14.25" customHeight="1">
      <c r="G5177" s="3" t="s">
        <v>5225</v>
      </c>
    </row>
    <row r="5178" ht="14.25" customHeight="1">
      <c r="G5178" s="3" t="s">
        <v>5226</v>
      </c>
    </row>
    <row r="5179" ht="14.25" customHeight="1">
      <c r="G5179" s="3" t="s">
        <v>5227</v>
      </c>
    </row>
    <row r="5180" ht="14.25" customHeight="1">
      <c r="G5180" s="3" t="s">
        <v>5228</v>
      </c>
    </row>
    <row r="5181" ht="14.25" customHeight="1">
      <c r="G5181" s="3" t="s">
        <v>5229</v>
      </c>
    </row>
    <row r="5182" ht="14.25" customHeight="1">
      <c r="G5182" s="3" t="s">
        <v>5230</v>
      </c>
    </row>
    <row r="5183" ht="14.25" customHeight="1">
      <c r="G5183" s="3" t="s">
        <v>5231</v>
      </c>
    </row>
    <row r="5184" ht="14.25" customHeight="1">
      <c r="G5184" s="3" t="s">
        <v>5232</v>
      </c>
    </row>
    <row r="5185" ht="14.25" customHeight="1">
      <c r="G5185" s="3" t="s">
        <v>5233</v>
      </c>
    </row>
    <row r="5186" ht="14.25" customHeight="1">
      <c r="G5186" s="3" t="s">
        <v>5234</v>
      </c>
    </row>
    <row r="5187" ht="14.25" customHeight="1">
      <c r="G5187" s="3" t="s">
        <v>5235</v>
      </c>
    </row>
    <row r="5188" ht="14.25" customHeight="1">
      <c r="G5188" s="3" t="s">
        <v>5236</v>
      </c>
    </row>
    <row r="5189" ht="14.25" customHeight="1">
      <c r="G5189" s="3" t="s">
        <v>5237</v>
      </c>
    </row>
    <row r="5190" ht="14.25" customHeight="1">
      <c r="G5190" s="3" t="s">
        <v>5238</v>
      </c>
    </row>
    <row r="5191" ht="14.25" customHeight="1">
      <c r="G5191" s="3" t="s">
        <v>5239</v>
      </c>
    </row>
    <row r="5192" ht="14.25" customHeight="1">
      <c r="G5192" s="3" t="s">
        <v>5240</v>
      </c>
    </row>
    <row r="5193" ht="14.25" customHeight="1">
      <c r="G5193" s="3" t="s">
        <v>5241</v>
      </c>
    </row>
    <row r="5194" ht="14.25" customHeight="1">
      <c r="G5194" s="3" t="s">
        <v>5242</v>
      </c>
    </row>
    <row r="5195" ht="14.25" customHeight="1">
      <c r="G5195" s="3" t="s">
        <v>5243</v>
      </c>
    </row>
    <row r="5196" ht="14.25" customHeight="1">
      <c r="G5196" s="3" t="s">
        <v>5244</v>
      </c>
    </row>
    <row r="5197" ht="14.25" customHeight="1">
      <c r="G5197" s="3" t="s">
        <v>5245</v>
      </c>
    </row>
    <row r="5198" ht="14.25" customHeight="1">
      <c r="G5198" s="3" t="s">
        <v>5246</v>
      </c>
    </row>
    <row r="5199" ht="14.25" customHeight="1">
      <c r="G5199" s="3" t="s">
        <v>5247</v>
      </c>
    </row>
    <row r="5200" ht="14.25" customHeight="1">
      <c r="G5200" s="3" t="s">
        <v>5248</v>
      </c>
    </row>
    <row r="5201" ht="14.25" customHeight="1">
      <c r="G5201" s="3" t="s">
        <v>5249</v>
      </c>
    </row>
    <row r="5202" ht="14.25" customHeight="1">
      <c r="G5202" s="3" t="s">
        <v>5250</v>
      </c>
    </row>
    <row r="5203" ht="14.25" customHeight="1">
      <c r="G5203" s="3" t="s">
        <v>5251</v>
      </c>
    </row>
    <row r="5204" ht="14.25" customHeight="1">
      <c r="G5204" s="3" t="s">
        <v>5252</v>
      </c>
    </row>
    <row r="5205" ht="14.25" customHeight="1">
      <c r="G5205" s="3" t="s">
        <v>5253</v>
      </c>
    </row>
    <row r="5206" ht="14.25" customHeight="1">
      <c r="G5206" s="3" t="s">
        <v>5254</v>
      </c>
    </row>
    <row r="5207" ht="14.25" customHeight="1">
      <c r="G5207" s="3" t="s">
        <v>5255</v>
      </c>
    </row>
    <row r="5208" ht="14.25" customHeight="1">
      <c r="G5208" s="3" t="s">
        <v>5256</v>
      </c>
    </row>
    <row r="5209" ht="14.25" customHeight="1">
      <c r="G5209" s="3" t="s">
        <v>5257</v>
      </c>
    </row>
    <row r="5210" ht="14.25" customHeight="1">
      <c r="G5210" s="3" t="s">
        <v>5258</v>
      </c>
    </row>
    <row r="5211" ht="14.25" customHeight="1">
      <c r="G5211" s="3" t="s">
        <v>5259</v>
      </c>
    </row>
    <row r="5212" ht="14.25" customHeight="1">
      <c r="G5212" s="3" t="s">
        <v>5260</v>
      </c>
    </row>
    <row r="5213" ht="14.25" customHeight="1">
      <c r="G5213" s="3" t="s">
        <v>5261</v>
      </c>
    </row>
    <row r="5214" ht="14.25" customHeight="1">
      <c r="G5214" s="3" t="s">
        <v>5262</v>
      </c>
    </row>
    <row r="5215" ht="14.25" customHeight="1">
      <c r="G5215" s="3" t="s">
        <v>5263</v>
      </c>
    </row>
    <row r="5216" ht="14.25" customHeight="1">
      <c r="G5216" s="3" t="s">
        <v>5264</v>
      </c>
    </row>
    <row r="5217" ht="14.25" customHeight="1">
      <c r="G5217" s="3" t="s">
        <v>5265</v>
      </c>
    </row>
    <row r="5218" ht="14.25" customHeight="1">
      <c r="G5218" s="3" t="s">
        <v>5266</v>
      </c>
    </row>
    <row r="5219" ht="14.25" customHeight="1">
      <c r="G5219" s="3" t="s">
        <v>5267</v>
      </c>
    </row>
    <row r="5220" ht="14.25" customHeight="1">
      <c r="G5220" s="3" t="s">
        <v>5268</v>
      </c>
    </row>
    <row r="5221" ht="14.25" customHeight="1">
      <c r="G5221" s="3" t="s">
        <v>5269</v>
      </c>
    </row>
    <row r="5222" ht="14.25" customHeight="1">
      <c r="G5222" s="3" t="s">
        <v>5270</v>
      </c>
    </row>
    <row r="5223" ht="14.25" customHeight="1">
      <c r="G5223" s="3" t="s">
        <v>5271</v>
      </c>
    </row>
    <row r="5224" ht="14.25" customHeight="1">
      <c r="G5224" s="3" t="s">
        <v>5272</v>
      </c>
    </row>
    <row r="5225" ht="14.25" customHeight="1">
      <c r="G5225" s="3" t="s">
        <v>5273</v>
      </c>
    </row>
    <row r="5226" ht="14.25" customHeight="1">
      <c r="G5226" s="3" t="s">
        <v>5274</v>
      </c>
    </row>
    <row r="5227" ht="14.25" customHeight="1">
      <c r="G5227" s="3" t="s">
        <v>5275</v>
      </c>
    </row>
    <row r="5228" ht="14.25" customHeight="1">
      <c r="G5228" s="3" t="s">
        <v>5276</v>
      </c>
    </row>
    <row r="5229" ht="14.25" customHeight="1">
      <c r="G5229" s="3" t="s">
        <v>5277</v>
      </c>
    </row>
    <row r="5230" ht="14.25" customHeight="1">
      <c r="G5230" s="3" t="s">
        <v>5278</v>
      </c>
    </row>
    <row r="5231" ht="14.25" customHeight="1">
      <c r="G5231" s="3" t="s">
        <v>5279</v>
      </c>
    </row>
    <row r="5232" ht="14.25" customHeight="1">
      <c r="G5232" s="3" t="s">
        <v>5280</v>
      </c>
    </row>
    <row r="5233" ht="14.25" customHeight="1">
      <c r="G5233" s="3" t="s">
        <v>5281</v>
      </c>
    </row>
    <row r="5234" ht="14.25" customHeight="1">
      <c r="G5234" s="3" t="s">
        <v>5282</v>
      </c>
    </row>
    <row r="5235" ht="14.25" customHeight="1">
      <c r="G5235" s="3" t="s">
        <v>5283</v>
      </c>
    </row>
    <row r="5236" ht="14.25" customHeight="1">
      <c r="G5236" s="3" t="s">
        <v>5284</v>
      </c>
    </row>
    <row r="5237" ht="14.25" customHeight="1">
      <c r="G5237" s="3" t="s">
        <v>5285</v>
      </c>
    </row>
    <row r="5238" ht="14.25" customHeight="1">
      <c r="G5238" s="3" t="s">
        <v>5286</v>
      </c>
    </row>
    <row r="5239" ht="14.25" customHeight="1">
      <c r="G5239" s="3" t="s">
        <v>5287</v>
      </c>
    </row>
    <row r="5240" ht="14.25" customHeight="1">
      <c r="G5240" s="3" t="s">
        <v>5288</v>
      </c>
    </row>
    <row r="5241" ht="14.25" customHeight="1">
      <c r="G5241" s="3" t="s">
        <v>5289</v>
      </c>
    </row>
    <row r="5242" ht="14.25" customHeight="1">
      <c r="G5242" s="3" t="s">
        <v>5290</v>
      </c>
    </row>
    <row r="5243" ht="14.25" customHeight="1">
      <c r="G5243" s="3" t="s">
        <v>5291</v>
      </c>
    </row>
    <row r="5244" ht="14.25" customHeight="1">
      <c r="G5244" s="3" t="s">
        <v>5292</v>
      </c>
    </row>
    <row r="5245" ht="14.25" customHeight="1">
      <c r="G5245" s="3" t="s">
        <v>5293</v>
      </c>
    </row>
    <row r="5246" ht="14.25" customHeight="1">
      <c r="G5246" s="3" t="s">
        <v>5294</v>
      </c>
    </row>
    <row r="5247" ht="14.25" customHeight="1">
      <c r="G5247" s="3" t="s">
        <v>5295</v>
      </c>
    </row>
    <row r="5248" ht="14.25" customHeight="1">
      <c r="G5248" s="3" t="s">
        <v>5296</v>
      </c>
    </row>
    <row r="5249" ht="14.25" customHeight="1">
      <c r="G5249" s="3" t="s">
        <v>5297</v>
      </c>
    </row>
    <row r="5250" ht="14.25" customHeight="1">
      <c r="G5250" s="3" t="s">
        <v>5298</v>
      </c>
    </row>
    <row r="5251" ht="14.25" customHeight="1">
      <c r="G5251" s="3" t="s">
        <v>5299</v>
      </c>
    </row>
    <row r="5252" ht="14.25" customHeight="1">
      <c r="G5252" s="3" t="s">
        <v>5300</v>
      </c>
    </row>
    <row r="5253" ht="14.25" customHeight="1">
      <c r="G5253" s="3" t="s">
        <v>5301</v>
      </c>
    </row>
    <row r="5254" ht="14.25" customHeight="1">
      <c r="G5254" s="3" t="s">
        <v>5302</v>
      </c>
    </row>
    <row r="5255" ht="14.25" customHeight="1">
      <c r="G5255" s="3" t="s">
        <v>5303</v>
      </c>
    </row>
    <row r="5256" ht="14.25" customHeight="1">
      <c r="G5256" s="3" t="s">
        <v>5304</v>
      </c>
    </row>
    <row r="5257" ht="14.25" customHeight="1">
      <c r="G5257" s="3" t="s">
        <v>5305</v>
      </c>
    </row>
    <row r="5258" ht="14.25" customHeight="1">
      <c r="G5258" s="3" t="s">
        <v>5306</v>
      </c>
    </row>
    <row r="5259" ht="14.25" customHeight="1">
      <c r="G5259" s="3" t="s">
        <v>5307</v>
      </c>
    </row>
    <row r="5260" ht="14.25" customHeight="1">
      <c r="G5260" s="3" t="s">
        <v>5308</v>
      </c>
    </row>
    <row r="5261" ht="14.25" customHeight="1">
      <c r="G5261" s="3" t="s">
        <v>5309</v>
      </c>
    </row>
    <row r="5262" ht="14.25" customHeight="1">
      <c r="G5262" s="3" t="s">
        <v>5310</v>
      </c>
    </row>
    <row r="5263" ht="14.25" customHeight="1">
      <c r="G5263" s="3" t="s">
        <v>5311</v>
      </c>
    </row>
    <row r="5264" ht="14.25" customHeight="1">
      <c r="G5264" s="3" t="s">
        <v>5312</v>
      </c>
    </row>
    <row r="5265" ht="14.25" customHeight="1">
      <c r="G5265" s="3" t="s">
        <v>5313</v>
      </c>
    </row>
    <row r="5266" ht="14.25" customHeight="1">
      <c r="G5266" s="3" t="s">
        <v>5314</v>
      </c>
    </row>
    <row r="5267" ht="14.25" customHeight="1">
      <c r="G5267" s="3" t="s">
        <v>5315</v>
      </c>
    </row>
    <row r="5268" ht="14.25" customHeight="1">
      <c r="G5268" s="3" t="s">
        <v>5316</v>
      </c>
    </row>
    <row r="5269" ht="14.25" customHeight="1">
      <c r="G5269" s="3" t="s">
        <v>5317</v>
      </c>
    </row>
    <row r="5270" ht="14.25" customHeight="1">
      <c r="G5270" s="3" t="s">
        <v>5318</v>
      </c>
    </row>
    <row r="5271" ht="14.25" customHeight="1">
      <c r="G5271" s="3" t="s">
        <v>5319</v>
      </c>
    </row>
    <row r="5272" ht="14.25" customHeight="1">
      <c r="G5272" s="3" t="s">
        <v>5320</v>
      </c>
    </row>
    <row r="5273" ht="14.25" customHeight="1">
      <c r="G5273" s="3" t="s">
        <v>5321</v>
      </c>
    </row>
    <row r="5274" ht="14.25" customHeight="1">
      <c r="G5274" s="3" t="s">
        <v>5322</v>
      </c>
    </row>
    <row r="5275" ht="14.25" customHeight="1">
      <c r="G5275" s="3" t="s">
        <v>5323</v>
      </c>
    </row>
    <row r="5276" ht="14.25" customHeight="1">
      <c r="G5276" s="3" t="s">
        <v>5324</v>
      </c>
    </row>
    <row r="5277" ht="14.25" customHeight="1">
      <c r="G5277" s="3" t="s">
        <v>5325</v>
      </c>
    </row>
    <row r="5278" ht="14.25" customHeight="1">
      <c r="G5278" s="3" t="s">
        <v>5326</v>
      </c>
    </row>
    <row r="5279" ht="14.25" customHeight="1">
      <c r="G5279" s="3" t="s">
        <v>5327</v>
      </c>
    </row>
    <row r="5280" ht="14.25" customHeight="1">
      <c r="G5280" s="3" t="s">
        <v>5328</v>
      </c>
    </row>
    <row r="5281" ht="14.25" customHeight="1">
      <c r="G5281" s="3" t="s">
        <v>5329</v>
      </c>
    </row>
    <row r="5282" ht="14.25" customHeight="1">
      <c r="G5282" s="3" t="s">
        <v>5330</v>
      </c>
    </row>
    <row r="5283" ht="14.25" customHeight="1">
      <c r="G5283" s="3" t="s">
        <v>5331</v>
      </c>
    </row>
    <row r="5284" ht="14.25" customHeight="1">
      <c r="G5284" s="3" t="s">
        <v>5332</v>
      </c>
    </row>
    <row r="5285" ht="14.25" customHeight="1">
      <c r="G5285" s="3" t="s">
        <v>5333</v>
      </c>
    </row>
    <row r="5286" ht="14.25" customHeight="1">
      <c r="G5286" s="3" t="s">
        <v>5334</v>
      </c>
    </row>
    <row r="5287" ht="14.25" customHeight="1">
      <c r="G5287" s="3" t="s">
        <v>5335</v>
      </c>
    </row>
    <row r="5288" ht="14.25" customHeight="1">
      <c r="G5288" s="3" t="s">
        <v>5336</v>
      </c>
    </row>
    <row r="5289" ht="14.25" customHeight="1">
      <c r="G5289" s="3" t="s">
        <v>5337</v>
      </c>
    </row>
    <row r="5290" ht="14.25" customHeight="1">
      <c r="G5290" s="3" t="s">
        <v>5338</v>
      </c>
    </row>
    <row r="5291" ht="14.25" customHeight="1">
      <c r="G5291" s="3" t="s">
        <v>5339</v>
      </c>
    </row>
    <row r="5292" ht="14.25" customHeight="1">
      <c r="G5292" s="3" t="s">
        <v>5340</v>
      </c>
    </row>
    <row r="5293" ht="14.25" customHeight="1">
      <c r="G5293" s="3" t="s">
        <v>5341</v>
      </c>
    </row>
    <row r="5294" ht="14.25" customHeight="1">
      <c r="G5294" s="3" t="s">
        <v>5342</v>
      </c>
    </row>
    <row r="5295" ht="14.25" customHeight="1">
      <c r="G5295" s="3" t="s">
        <v>5343</v>
      </c>
    </row>
    <row r="5296" ht="14.25" customHeight="1">
      <c r="G5296" s="3" t="s">
        <v>5344</v>
      </c>
    </row>
    <row r="5297" ht="14.25" customHeight="1">
      <c r="G5297" s="3" t="s">
        <v>5345</v>
      </c>
    </row>
    <row r="5298" ht="14.25" customHeight="1">
      <c r="G5298" s="3" t="s">
        <v>5346</v>
      </c>
    </row>
    <row r="5299" ht="14.25" customHeight="1">
      <c r="G5299" s="3" t="s">
        <v>5347</v>
      </c>
    </row>
    <row r="5300" ht="14.25" customHeight="1">
      <c r="G5300" s="3" t="s">
        <v>5348</v>
      </c>
    </row>
    <row r="5301" ht="14.25" customHeight="1">
      <c r="G5301" s="3" t="s">
        <v>5349</v>
      </c>
    </row>
    <row r="5302" ht="14.25" customHeight="1">
      <c r="G5302" s="3" t="s">
        <v>5350</v>
      </c>
    </row>
    <row r="5303" ht="14.25" customHeight="1">
      <c r="G5303" s="3" t="s">
        <v>5351</v>
      </c>
    </row>
    <row r="5304" ht="14.25" customHeight="1">
      <c r="G5304" s="3" t="s">
        <v>5352</v>
      </c>
    </row>
    <row r="5305" ht="14.25" customHeight="1">
      <c r="G5305" s="3" t="s">
        <v>5353</v>
      </c>
    </row>
    <row r="5306" ht="14.25" customHeight="1">
      <c r="G5306" s="3" t="s">
        <v>5354</v>
      </c>
    </row>
    <row r="5307" ht="14.25" customHeight="1">
      <c r="G5307" s="3" t="s">
        <v>5355</v>
      </c>
    </row>
    <row r="5308" ht="14.25" customHeight="1">
      <c r="G5308" s="3" t="s">
        <v>5356</v>
      </c>
    </row>
    <row r="5309" ht="14.25" customHeight="1">
      <c r="G5309" s="3" t="s">
        <v>5357</v>
      </c>
    </row>
    <row r="5310" ht="14.25" customHeight="1">
      <c r="G5310" s="3" t="s">
        <v>5358</v>
      </c>
    </row>
    <row r="5311" ht="14.25" customHeight="1">
      <c r="G5311" s="3" t="s">
        <v>5359</v>
      </c>
    </row>
    <row r="5312" ht="14.25" customHeight="1">
      <c r="G5312" s="3" t="s">
        <v>5360</v>
      </c>
    </row>
    <row r="5313" ht="14.25" customHeight="1">
      <c r="G5313" s="3" t="s">
        <v>5361</v>
      </c>
    </row>
    <row r="5314" ht="14.25" customHeight="1">
      <c r="G5314" s="3" t="s">
        <v>5362</v>
      </c>
    </row>
    <row r="5315" ht="14.25" customHeight="1">
      <c r="G5315" s="3" t="s">
        <v>5363</v>
      </c>
    </row>
    <row r="5316" ht="14.25" customHeight="1">
      <c r="G5316" s="3" t="s">
        <v>5364</v>
      </c>
    </row>
    <row r="5317" ht="14.25" customHeight="1">
      <c r="G5317" s="3" t="s">
        <v>5365</v>
      </c>
    </row>
    <row r="5318" ht="14.25" customHeight="1">
      <c r="G5318" s="3" t="s">
        <v>5366</v>
      </c>
    </row>
    <row r="5319" ht="14.25" customHeight="1">
      <c r="G5319" s="3" t="s">
        <v>5367</v>
      </c>
    </row>
    <row r="5320" ht="14.25" customHeight="1">
      <c r="G5320" s="3" t="s">
        <v>5368</v>
      </c>
    </row>
    <row r="5321" ht="14.25" customHeight="1">
      <c r="G5321" s="3" t="s">
        <v>5369</v>
      </c>
    </row>
    <row r="5322" ht="14.25" customHeight="1">
      <c r="G5322" s="3" t="s">
        <v>5370</v>
      </c>
    </row>
    <row r="5323" ht="14.25" customHeight="1">
      <c r="G5323" s="3" t="s">
        <v>5371</v>
      </c>
    </row>
    <row r="5324" ht="14.25" customHeight="1">
      <c r="G5324" s="3" t="s">
        <v>5372</v>
      </c>
    </row>
    <row r="5325" ht="14.25" customHeight="1">
      <c r="G5325" s="3" t="s">
        <v>5373</v>
      </c>
    </row>
    <row r="5326" ht="14.25" customHeight="1">
      <c r="G5326" s="3" t="s">
        <v>5374</v>
      </c>
    </row>
    <row r="5327" ht="14.25" customHeight="1">
      <c r="G5327" s="3" t="s">
        <v>5375</v>
      </c>
    </row>
    <row r="5328" ht="14.25" customHeight="1">
      <c r="G5328" s="3" t="s">
        <v>5376</v>
      </c>
    </row>
    <row r="5329" ht="14.25" customHeight="1">
      <c r="G5329" s="3" t="s">
        <v>5377</v>
      </c>
    </row>
    <row r="5330" ht="14.25" customHeight="1">
      <c r="G5330" s="3" t="s">
        <v>5378</v>
      </c>
    </row>
    <row r="5331" ht="14.25" customHeight="1">
      <c r="G5331" s="3" t="s">
        <v>5379</v>
      </c>
    </row>
    <row r="5332" ht="14.25" customHeight="1">
      <c r="G5332" s="3" t="s">
        <v>5380</v>
      </c>
    </row>
    <row r="5333" ht="14.25" customHeight="1">
      <c r="G5333" s="3" t="s">
        <v>5381</v>
      </c>
    </row>
    <row r="5334" ht="14.25" customHeight="1">
      <c r="G5334" s="3" t="s">
        <v>5382</v>
      </c>
    </row>
    <row r="5335" ht="14.25" customHeight="1">
      <c r="G5335" s="3" t="s">
        <v>5383</v>
      </c>
    </row>
    <row r="5336" ht="14.25" customHeight="1">
      <c r="G5336" s="3" t="s">
        <v>5384</v>
      </c>
    </row>
    <row r="5337" ht="14.25" customHeight="1">
      <c r="G5337" s="3" t="s">
        <v>5385</v>
      </c>
    </row>
    <row r="5338" ht="14.25" customHeight="1">
      <c r="G5338" s="3" t="s">
        <v>5386</v>
      </c>
    </row>
    <row r="5339" ht="14.25" customHeight="1">
      <c r="G5339" s="3" t="s">
        <v>5387</v>
      </c>
    </row>
    <row r="5340" ht="14.25" customHeight="1">
      <c r="G5340" s="3" t="s">
        <v>5388</v>
      </c>
    </row>
    <row r="5341" ht="14.25" customHeight="1">
      <c r="G5341" s="3" t="s">
        <v>5389</v>
      </c>
    </row>
    <row r="5342" ht="14.25" customHeight="1">
      <c r="G5342" s="3" t="s">
        <v>5390</v>
      </c>
    </row>
    <row r="5343" ht="14.25" customHeight="1">
      <c r="G5343" s="3" t="s">
        <v>5391</v>
      </c>
    </row>
    <row r="5344" ht="14.25" customHeight="1">
      <c r="G5344" s="3" t="s">
        <v>5392</v>
      </c>
    </row>
    <row r="5345" ht="14.25" customHeight="1">
      <c r="G5345" s="3" t="s">
        <v>5393</v>
      </c>
    </row>
    <row r="5346" ht="14.25" customHeight="1">
      <c r="G5346" s="3" t="s">
        <v>5394</v>
      </c>
    </row>
    <row r="5347" ht="14.25" customHeight="1">
      <c r="G5347" s="3" t="s">
        <v>5395</v>
      </c>
    </row>
    <row r="5348" ht="14.25" customHeight="1">
      <c r="G5348" s="3" t="s">
        <v>5396</v>
      </c>
    </row>
    <row r="5349" ht="14.25" customHeight="1">
      <c r="G5349" s="3" t="s">
        <v>5397</v>
      </c>
    </row>
    <row r="5350" ht="14.25" customHeight="1">
      <c r="G5350" s="3" t="s">
        <v>5398</v>
      </c>
    </row>
    <row r="5351" ht="14.25" customHeight="1">
      <c r="G5351" s="3" t="s">
        <v>5399</v>
      </c>
    </row>
    <row r="5352" ht="14.25" customHeight="1">
      <c r="G5352" s="3" t="s">
        <v>5400</v>
      </c>
    </row>
    <row r="5353" ht="14.25" customHeight="1">
      <c r="G5353" s="3" t="s">
        <v>5401</v>
      </c>
    </row>
    <row r="5354" ht="14.25" customHeight="1">
      <c r="G5354" s="3" t="s">
        <v>5402</v>
      </c>
    </row>
    <row r="5355" ht="14.25" customHeight="1">
      <c r="G5355" s="3" t="s">
        <v>5403</v>
      </c>
    </row>
    <row r="5356" ht="14.25" customHeight="1">
      <c r="G5356" s="3" t="s">
        <v>5404</v>
      </c>
    </row>
    <row r="5357" ht="14.25" customHeight="1">
      <c r="G5357" s="3" t="s">
        <v>5405</v>
      </c>
    </row>
    <row r="5358" ht="14.25" customHeight="1">
      <c r="G5358" s="3" t="s">
        <v>5406</v>
      </c>
    </row>
    <row r="5359" ht="14.25" customHeight="1">
      <c r="G5359" s="3" t="s">
        <v>5407</v>
      </c>
    </row>
    <row r="5360" ht="14.25" customHeight="1">
      <c r="G5360" s="3" t="s">
        <v>5408</v>
      </c>
    </row>
    <row r="5361" ht="14.25" customHeight="1">
      <c r="G5361" s="3" t="s">
        <v>5409</v>
      </c>
    </row>
    <row r="5362" ht="14.25" customHeight="1">
      <c r="G5362" s="3" t="s">
        <v>5410</v>
      </c>
    </row>
    <row r="5363" ht="14.25" customHeight="1">
      <c r="G5363" s="3" t="s">
        <v>5411</v>
      </c>
    </row>
    <row r="5364" ht="14.25" customHeight="1">
      <c r="G5364" s="3" t="s">
        <v>5412</v>
      </c>
    </row>
    <row r="5365" ht="14.25" customHeight="1">
      <c r="G5365" s="3" t="s">
        <v>5413</v>
      </c>
    </row>
    <row r="5366" ht="14.25" customHeight="1">
      <c r="G5366" s="3" t="s">
        <v>5414</v>
      </c>
    </row>
    <row r="5367" ht="14.25" customHeight="1">
      <c r="G5367" s="3" t="s">
        <v>5415</v>
      </c>
    </row>
    <row r="5368" ht="14.25" customHeight="1">
      <c r="G5368" s="3" t="s">
        <v>5416</v>
      </c>
    </row>
    <row r="5369" ht="14.25" customHeight="1">
      <c r="G5369" s="3" t="s">
        <v>5417</v>
      </c>
    </row>
    <row r="5370" ht="14.25" customHeight="1">
      <c r="G5370" s="3" t="s">
        <v>5418</v>
      </c>
    </row>
    <row r="5371" ht="14.25" customHeight="1">
      <c r="G5371" s="3" t="s">
        <v>5419</v>
      </c>
    </row>
    <row r="5372" ht="14.25" customHeight="1">
      <c r="G5372" s="3" t="s">
        <v>5420</v>
      </c>
    </row>
    <row r="5373" ht="14.25" customHeight="1">
      <c r="G5373" s="3" t="s">
        <v>5421</v>
      </c>
    </row>
    <row r="5374" ht="14.25" customHeight="1">
      <c r="G5374" s="3" t="s">
        <v>5422</v>
      </c>
    </row>
    <row r="5375" ht="14.25" customHeight="1">
      <c r="G5375" s="3" t="s">
        <v>5423</v>
      </c>
    </row>
    <row r="5376" ht="14.25" customHeight="1">
      <c r="G5376" s="3" t="s">
        <v>5424</v>
      </c>
    </row>
    <row r="5377" ht="14.25" customHeight="1">
      <c r="G5377" s="3" t="s">
        <v>5425</v>
      </c>
    </row>
    <row r="5378" ht="14.25" customHeight="1">
      <c r="G5378" s="3" t="s">
        <v>5426</v>
      </c>
    </row>
    <row r="5379" ht="14.25" customHeight="1">
      <c r="G5379" s="3" t="s">
        <v>5427</v>
      </c>
    </row>
    <row r="5380" ht="14.25" customHeight="1">
      <c r="G5380" s="3" t="s">
        <v>5428</v>
      </c>
    </row>
    <row r="5381" ht="14.25" customHeight="1">
      <c r="G5381" s="3" t="s">
        <v>5429</v>
      </c>
    </row>
    <row r="5382" ht="14.25" customHeight="1">
      <c r="G5382" s="3" t="s">
        <v>5430</v>
      </c>
    </row>
    <row r="5383" ht="14.25" customHeight="1">
      <c r="G5383" s="3" t="s">
        <v>5431</v>
      </c>
    </row>
    <row r="5384" ht="14.25" customHeight="1">
      <c r="G5384" s="3" t="s">
        <v>5432</v>
      </c>
    </row>
    <row r="5385" ht="14.25" customHeight="1">
      <c r="G5385" s="3" t="s">
        <v>5433</v>
      </c>
    </row>
    <row r="5386" ht="14.25" customHeight="1">
      <c r="G5386" s="3" t="s">
        <v>5434</v>
      </c>
    </row>
    <row r="5387" ht="14.25" customHeight="1">
      <c r="G5387" s="3" t="s">
        <v>5435</v>
      </c>
    </row>
    <row r="5388" ht="14.25" customHeight="1">
      <c r="G5388" s="3" t="s">
        <v>5436</v>
      </c>
    </row>
    <row r="5389" ht="14.25" customHeight="1">
      <c r="G5389" s="3" t="s">
        <v>5437</v>
      </c>
    </row>
    <row r="5390" ht="14.25" customHeight="1">
      <c r="G5390" s="3" t="s">
        <v>5438</v>
      </c>
    </row>
    <row r="5391" ht="14.25" customHeight="1">
      <c r="G5391" s="3" t="s">
        <v>5439</v>
      </c>
    </row>
    <row r="5392" ht="14.25" customHeight="1">
      <c r="G5392" s="3" t="s">
        <v>5440</v>
      </c>
    </row>
    <row r="5393" ht="14.25" customHeight="1">
      <c r="G5393" s="3" t="s">
        <v>5441</v>
      </c>
    </row>
    <row r="5394" ht="14.25" customHeight="1">
      <c r="G5394" s="3" t="s">
        <v>5442</v>
      </c>
    </row>
    <row r="5395" ht="14.25" customHeight="1">
      <c r="G5395" s="3" t="s">
        <v>5443</v>
      </c>
    </row>
    <row r="5396" ht="14.25" customHeight="1">
      <c r="G5396" s="3" t="s">
        <v>5444</v>
      </c>
    </row>
    <row r="5397" ht="14.25" customHeight="1">
      <c r="G5397" s="3" t="s">
        <v>5445</v>
      </c>
    </row>
    <row r="5398" ht="14.25" customHeight="1">
      <c r="G5398" s="3" t="s">
        <v>5446</v>
      </c>
    </row>
    <row r="5399" ht="14.25" customHeight="1">
      <c r="G5399" s="3" t="s">
        <v>5447</v>
      </c>
    </row>
    <row r="5400" ht="14.25" customHeight="1">
      <c r="G5400" s="3" t="s">
        <v>5448</v>
      </c>
    </row>
    <row r="5401" ht="14.25" customHeight="1">
      <c r="G5401" s="3" t="s">
        <v>5449</v>
      </c>
    </row>
    <row r="5402" ht="14.25" customHeight="1">
      <c r="G5402" s="3" t="s">
        <v>5450</v>
      </c>
    </row>
    <row r="5403" ht="14.25" customHeight="1">
      <c r="G5403" s="3" t="s">
        <v>5451</v>
      </c>
    </row>
    <row r="5404" ht="14.25" customHeight="1">
      <c r="G5404" s="3" t="s">
        <v>5452</v>
      </c>
    </row>
    <row r="5405" ht="14.25" customHeight="1">
      <c r="G5405" s="3" t="s">
        <v>5453</v>
      </c>
    </row>
    <row r="5406" ht="14.25" customHeight="1">
      <c r="G5406" s="3" t="s">
        <v>5454</v>
      </c>
    </row>
    <row r="5407" ht="14.25" customHeight="1">
      <c r="G5407" s="3" t="s">
        <v>5455</v>
      </c>
    </row>
    <row r="5408" ht="14.25" customHeight="1">
      <c r="G5408" s="3" t="s">
        <v>5456</v>
      </c>
    </row>
    <row r="5409" ht="14.25" customHeight="1">
      <c r="G5409" s="3" t="s">
        <v>5457</v>
      </c>
    </row>
    <row r="5410" ht="14.25" customHeight="1">
      <c r="G5410" s="3" t="s">
        <v>5458</v>
      </c>
    </row>
    <row r="5411" ht="14.25" customHeight="1">
      <c r="G5411" s="3" t="s">
        <v>5459</v>
      </c>
    </row>
    <row r="5412" ht="14.25" customHeight="1">
      <c r="G5412" s="3" t="s">
        <v>5460</v>
      </c>
    </row>
    <row r="5413" ht="14.25" customHeight="1">
      <c r="G5413" s="3" t="s">
        <v>5461</v>
      </c>
    </row>
    <row r="5414" ht="14.25" customHeight="1">
      <c r="G5414" s="3" t="s">
        <v>5462</v>
      </c>
    </row>
    <row r="5415" ht="14.25" customHeight="1">
      <c r="G5415" s="3" t="s">
        <v>5463</v>
      </c>
    </row>
    <row r="5416" ht="14.25" customHeight="1">
      <c r="G5416" s="3" t="s">
        <v>5464</v>
      </c>
    </row>
    <row r="5417" ht="14.25" customHeight="1">
      <c r="G5417" s="3" t="s">
        <v>5465</v>
      </c>
    </row>
    <row r="5418" ht="14.25" customHeight="1">
      <c r="G5418" s="3" t="s">
        <v>5466</v>
      </c>
    </row>
    <row r="5419" ht="14.25" customHeight="1">
      <c r="G5419" s="3" t="s">
        <v>5467</v>
      </c>
    </row>
    <row r="5420" ht="14.25" customHeight="1">
      <c r="G5420" s="3" t="s">
        <v>5468</v>
      </c>
    </row>
    <row r="5421" ht="14.25" customHeight="1">
      <c r="G5421" s="3" t="s">
        <v>5469</v>
      </c>
    </row>
    <row r="5422" ht="14.25" customHeight="1">
      <c r="G5422" s="3" t="s">
        <v>5470</v>
      </c>
    </row>
    <row r="5423" ht="14.25" customHeight="1">
      <c r="G5423" s="3" t="s">
        <v>5471</v>
      </c>
    </row>
    <row r="5424" ht="14.25" customHeight="1">
      <c r="G5424" s="3" t="s">
        <v>5472</v>
      </c>
    </row>
    <row r="5425" ht="14.25" customHeight="1">
      <c r="G5425" s="3" t="s">
        <v>5473</v>
      </c>
    </row>
    <row r="5426" ht="14.25" customHeight="1">
      <c r="G5426" s="3" t="s">
        <v>5474</v>
      </c>
    </row>
    <row r="5427" ht="14.25" customHeight="1">
      <c r="G5427" s="3" t="s">
        <v>5475</v>
      </c>
    </row>
    <row r="5428" ht="14.25" customHeight="1">
      <c r="G5428" s="3" t="s">
        <v>5476</v>
      </c>
    </row>
    <row r="5429" ht="14.25" customHeight="1">
      <c r="G5429" s="3" t="s">
        <v>5477</v>
      </c>
    </row>
    <row r="5430" ht="14.25" customHeight="1">
      <c r="G5430" s="3" t="s">
        <v>5478</v>
      </c>
    </row>
    <row r="5431" ht="14.25" customHeight="1">
      <c r="G5431" s="3" t="s">
        <v>5479</v>
      </c>
    </row>
    <row r="5432" ht="14.25" customHeight="1">
      <c r="G5432" s="3" t="s">
        <v>5480</v>
      </c>
    </row>
    <row r="5433" ht="14.25" customHeight="1">
      <c r="G5433" s="3" t="s">
        <v>5481</v>
      </c>
    </row>
    <row r="5434" ht="14.25" customHeight="1">
      <c r="G5434" s="3" t="s">
        <v>5482</v>
      </c>
    </row>
    <row r="5435" ht="14.25" customHeight="1">
      <c r="G5435" s="3" t="s">
        <v>5483</v>
      </c>
    </row>
    <row r="5436" ht="14.25" customHeight="1">
      <c r="G5436" s="3" t="s">
        <v>5484</v>
      </c>
    </row>
    <row r="5437" ht="14.25" customHeight="1">
      <c r="G5437" s="3" t="s">
        <v>5485</v>
      </c>
    </row>
    <row r="5438" ht="14.25" customHeight="1">
      <c r="G5438" s="3" t="s">
        <v>5486</v>
      </c>
    </row>
    <row r="5439" ht="14.25" customHeight="1">
      <c r="G5439" s="3" t="s">
        <v>5487</v>
      </c>
    </row>
    <row r="5440" ht="14.25" customHeight="1">
      <c r="G5440" s="3" t="s">
        <v>5488</v>
      </c>
    </row>
    <row r="5441" ht="14.25" customHeight="1">
      <c r="G5441" s="3" t="s">
        <v>5489</v>
      </c>
    </row>
    <row r="5442" ht="14.25" customHeight="1">
      <c r="G5442" s="3" t="s">
        <v>5490</v>
      </c>
    </row>
    <row r="5443" ht="14.25" customHeight="1">
      <c r="G5443" s="3" t="s">
        <v>5491</v>
      </c>
    </row>
    <row r="5444" ht="14.25" customHeight="1">
      <c r="G5444" s="3" t="s">
        <v>5492</v>
      </c>
    </row>
    <row r="5445" ht="14.25" customHeight="1">
      <c r="G5445" s="3" t="s">
        <v>5493</v>
      </c>
    </row>
    <row r="5446" ht="14.25" customHeight="1">
      <c r="G5446" s="3" t="s">
        <v>5494</v>
      </c>
    </row>
    <row r="5447" ht="14.25" customHeight="1">
      <c r="G5447" s="3" t="s">
        <v>5495</v>
      </c>
    </row>
    <row r="5448" ht="14.25" customHeight="1">
      <c r="G5448" s="3" t="s">
        <v>5496</v>
      </c>
    </row>
    <row r="5449" ht="14.25" customHeight="1">
      <c r="G5449" s="3" t="s">
        <v>5497</v>
      </c>
    </row>
    <row r="5450" ht="14.25" customHeight="1">
      <c r="G5450" s="3" t="s">
        <v>5498</v>
      </c>
    </row>
    <row r="5451" ht="14.25" customHeight="1">
      <c r="G5451" s="3" t="s">
        <v>5499</v>
      </c>
    </row>
    <row r="5452" ht="14.25" customHeight="1">
      <c r="G5452" s="3" t="s">
        <v>5500</v>
      </c>
    </row>
    <row r="5453" ht="14.25" customHeight="1">
      <c r="G5453" s="3" t="s">
        <v>5501</v>
      </c>
    </row>
    <row r="5454" ht="14.25" customHeight="1">
      <c r="G5454" s="3" t="s">
        <v>5502</v>
      </c>
    </row>
    <row r="5455" ht="14.25" customHeight="1">
      <c r="G5455" s="3" t="s">
        <v>5503</v>
      </c>
    </row>
    <row r="5456" ht="14.25" customHeight="1">
      <c r="G5456" s="3" t="s">
        <v>5504</v>
      </c>
    </row>
    <row r="5457" ht="14.25" customHeight="1">
      <c r="G5457" s="3" t="s">
        <v>5505</v>
      </c>
    </row>
    <row r="5458" ht="14.25" customHeight="1">
      <c r="G5458" s="3" t="s">
        <v>5506</v>
      </c>
    </row>
    <row r="5459" ht="14.25" customHeight="1">
      <c r="G5459" s="3" t="s">
        <v>5507</v>
      </c>
    </row>
    <row r="5460" ht="14.25" customHeight="1">
      <c r="G5460" s="3" t="s">
        <v>5508</v>
      </c>
    </row>
    <row r="5461" ht="14.25" customHeight="1">
      <c r="G5461" s="3" t="s">
        <v>5509</v>
      </c>
    </row>
    <row r="5462" ht="14.25" customHeight="1">
      <c r="G5462" s="3" t="s">
        <v>5510</v>
      </c>
    </row>
    <row r="5463" ht="14.25" customHeight="1">
      <c r="G5463" s="3" t="s">
        <v>5511</v>
      </c>
    </row>
    <row r="5464" ht="14.25" customHeight="1">
      <c r="G5464" s="3" t="s">
        <v>5512</v>
      </c>
    </row>
    <row r="5465" ht="14.25" customHeight="1">
      <c r="G5465" s="3" t="s">
        <v>5513</v>
      </c>
    </row>
    <row r="5466" ht="14.25" customHeight="1">
      <c r="G5466" s="3" t="s">
        <v>5514</v>
      </c>
    </row>
    <row r="5467" ht="14.25" customHeight="1">
      <c r="G5467" s="3" t="s">
        <v>5515</v>
      </c>
    </row>
    <row r="5468" ht="14.25" customHeight="1">
      <c r="G5468" s="3" t="s">
        <v>5516</v>
      </c>
    </row>
    <row r="5469" ht="14.25" customHeight="1">
      <c r="G5469" s="3" t="s">
        <v>5517</v>
      </c>
    </row>
    <row r="5470" ht="14.25" customHeight="1">
      <c r="G5470" s="3" t="s">
        <v>5518</v>
      </c>
    </row>
    <row r="5471" ht="14.25" customHeight="1">
      <c r="G5471" s="3" t="s">
        <v>5519</v>
      </c>
    </row>
    <row r="5472" ht="14.25" customHeight="1">
      <c r="G5472" s="3" t="s">
        <v>5520</v>
      </c>
    </row>
    <row r="5473" ht="14.25" customHeight="1">
      <c r="G5473" s="3" t="s">
        <v>5521</v>
      </c>
    </row>
    <row r="5474" ht="14.25" customHeight="1">
      <c r="G5474" s="3" t="s">
        <v>5522</v>
      </c>
    </row>
    <row r="5475" ht="14.25" customHeight="1">
      <c r="G5475" s="3" t="s">
        <v>5523</v>
      </c>
    </row>
    <row r="5476" ht="14.25" customHeight="1">
      <c r="G5476" s="3" t="s">
        <v>5524</v>
      </c>
    </row>
    <row r="5477" ht="14.25" customHeight="1">
      <c r="G5477" s="3" t="s">
        <v>5525</v>
      </c>
    </row>
    <row r="5478" ht="14.25" customHeight="1">
      <c r="G5478" s="3" t="s">
        <v>5526</v>
      </c>
    </row>
    <row r="5479" ht="14.25" customHeight="1">
      <c r="G5479" s="3" t="s">
        <v>5527</v>
      </c>
    </row>
    <row r="5480" ht="14.25" customHeight="1">
      <c r="G5480" s="3" t="s">
        <v>5528</v>
      </c>
    </row>
    <row r="5481" ht="14.25" customHeight="1">
      <c r="G5481" s="3" t="s">
        <v>5529</v>
      </c>
    </row>
    <row r="5482" ht="14.25" customHeight="1">
      <c r="G5482" s="3" t="s">
        <v>5530</v>
      </c>
    </row>
    <row r="5483" ht="14.25" customHeight="1">
      <c r="G5483" s="3" t="s">
        <v>5531</v>
      </c>
    </row>
    <row r="5484" ht="14.25" customHeight="1">
      <c r="G5484" s="3" t="s">
        <v>5532</v>
      </c>
    </row>
    <row r="5485" ht="14.25" customHeight="1">
      <c r="G5485" s="3" t="s">
        <v>5533</v>
      </c>
    </row>
    <row r="5486" ht="14.25" customHeight="1">
      <c r="G5486" s="3" t="s">
        <v>5534</v>
      </c>
    </row>
    <row r="5487" ht="14.25" customHeight="1">
      <c r="G5487" s="3" t="s">
        <v>5535</v>
      </c>
    </row>
    <row r="5488" ht="14.25" customHeight="1">
      <c r="G5488" s="3" t="s">
        <v>5536</v>
      </c>
    </row>
    <row r="5489" ht="14.25" customHeight="1">
      <c r="G5489" s="3" t="s">
        <v>5537</v>
      </c>
    </row>
    <row r="5490" ht="14.25" customHeight="1">
      <c r="G5490" s="3" t="s">
        <v>5538</v>
      </c>
    </row>
    <row r="5491" ht="14.25" customHeight="1">
      <c r="G5491" s="3" t="s">
        <v>5539</v>
      </c>
    </row>
    <row r="5492" ht="14.25" customHeight="1">
      <c r="G5492" s="3" t="s">
        <v>5540</v>
      </c>
    </row>
    <row r="5493" ht="14.25" customHeight="1">
      <c r="G5493" s="3" t="s">
        <v>5541</v>
      </c>
    </row>
    <row r="5494" ht="14.25" customHeight="1">
      <c r="G5494" s="3" t="s">
        <v>5542</v>
      </c>
    </row>
    <row r="5495" ht="14.25" customHeight="1">
      <c r="G5495" s="3" t="s">
        <v>5543</v>
      </c>
    </row>
    <row r="5496" ht="14.25" customHeight="1">
      <c r="G5496" s="3" t="s">
        <v>5544</v>
      </c>
    </row>
    <row r="5497" ht="14.25" customHeight="1">
      <c r="G5497" s="3" t="s">
        <v>5545</v>
      </c>
    </row>
    <row r="5498" ht="14.25" customHeight="1">
      <c r="G5498" s="3" t="s">
        <v>5546</v>
      </c>
    </row>
    <row r="5499" ht="14.25" customHeight="1">
      <c r="G5499" s="3" t="s">
        <v>5547</v>
      </c>
    </row>
    <row r="5500" ht="14.25" customHeight="1">
      <c r="G5500" s="3" t="s">
        <v>5548</v>
      </c>
    </row>
    <row r="5501" ht="14.25" customHeight="1">
      <c r="G5501" s="3" t="s">
        <v>5549</v>
      </c>
    </row>
    <row r="5502" ht="14.25" customHeight="1">
      <c r="G5502" s="3" t="s">
        <v>5550</v>
      </c>
    </row>
    <row r="5503" ht="14.25" customHeight="1">
      <c r="G5503" s="3" t="s">
        <v>5551</v>
      </c>
    </row>
    <row r="5504" ht="14.25" customHeight="1">
      <c r="G5504" s="3" t="s">
        <v>5552</v>
      </c>
    </row>
    <row r="5505" ht="14.25" customHeight="1">
      <c r="G5505" s="3" t="s">
        <v>5553</v>
      </c>
    </row>
    <row r="5506" ht="14.25" customHeight="1">
      <c r="G5506" s="3" t="s">
        <v>5554</v>
      </c>
    </row>
    <row r="5507" ht="14.25" customHeight="1">
      <c r="G5507" s="3" t="s">
        <v>5555</v>
      </c>
    </row>
    <row r="5508" ht="14.25" customHeight="1">
      <c r="G5508" s="3" t="s">
        <v>5556</v>
      </c>
    </row>
    <row r="5509" ht="14.25" customHeight="1">
      <c r="G5509" s="3" t="s">
        <v>5557</v>
      </c>
    </row>
    <row r="5510" ht="14.25" customHeight="1">
      <c r="G5510" s="3" t="s">
        <v>5558</v>
      </c>
    </row>
    <row r="5511" ht="14.25" customHeight="1">
      <c r="G5511" s="3" t="s">
        <v>5559</v>
      </c>
    </row>
    <row r="5512" ht="14.25" customHeight="1">
      <c r="G5512" s="3" t="s">
        <v>5560</v>
      </c>
    </row>
    <row r="5513" ht="14.25" customHeight="1">
      <c r="G5513" s="3" t="s">
        <v>5561</v>
      </c>
    </row>
    <row r="5514" ht="14.25" customHeight="1">
      <c r="G5514" s="3" t="s">
        <v>5562</v>
      </c>
    </row>
    <row r="5515" ht="14.25" customHeight="1">
      <c r="G5515" s="3" t="s">
        <v>5563</v>
      </c>
    </row>
    <row r="5516" ht="14.25" customHeight="1">
      <c r="G5516" s="3" t="s">
        <v>5564</v>
      </c>
    </row>
    <row r="5517" ht="14.25" customHeight="1">
      <c r="G5517" s="3" t="s">
        <v>5565</v>
      </c>
    </row>
    <row r="5518" ht="14.25" customHeight="1">
      <c r="G5518" s="3" t="s">
        <v>5566</v>
      </c>
    </row>
    <row r="5519" ht="14.25" customHeight="1">
      <c r="G5519" s="3" t="s">
        <v>5567</v>
      </c>
    </row>
    <row r="5520" ht="14.25" customHeight="1">
      <c r="G5520" s="3" t="s">
        <v>5568</v>
      </c>
    </row>
    <row r="5521" ht="14.25" customHeight="1">
      <c r="G5521" s="3" t="s">
        <v>5569</v>
      </c>
    </row>
    <row r="5522" ht="14.25" customHeight="1">
      <c r="G5522" s="3" t="s">
        <v>5570</v>
      </c>
    </row>
    <row r="5523" ht="14.25" customHeight="1">
      <c r="G5523" s="3" t="s">
        <v>5571</v>
      </c>
    </row>
    <row r="5524" ht="14.25" customHeight="1">
      <c r="G5524" s="3" t="s">
        <v>5572</v>
      </c>
    </row>
    <row r="5525" ht="14.25" customHeight="1">
      <c r="G5525" s="3" t="s">
        <v>5573</v>
      </c>
    </row>
    <row r="5526" ht="14.25" customHeight="1">
      <c r="G5526" s="3" t="s">
        <v>5574</v>
      </c>
    </row>
    <row r="5527" ht="14.25" customHeight="1">
      <c r="G5527" s="3" t="s">
        <v>5575</v>
      </c>
    </row>
    <row r="5528" ht="14.25" customHeight="1">
      <c r="G5528" s="3" t="s">
        <v>5576</v>
      </c>
    </row>
    <row r="5529" ht="14.25" customHeight="1">
      <c r="G5529" s="3" t="s">
        <v>5577</v>
      </c>
    </row>
    <row r="5530" ht="14.25" customHeight="1">
      <c r="G5530" s="3" t="s">
        <v>5578</v>
      </c>
    </row>
    <row r="5531" ht="14.25" customHeight="1">
      <c r="G5531" s="3" t="s">
        <v>5579</v>
      </c>
    </row>
    <row r="5532" ht="14.25" customHeight="1">
      <c r="G5532" s="3" t="s">
        <v>5580</v>
      </c>
    </row>
    <row r="5533" ht="14.25" customHeight="1">
      <c r="G5533" s="3" t="s">
        <v>5581</v>
      </c>
    </row>
    <row r="5534" ht="14.25" customHeight="1">
      <c r="G5534" s="3" t="s">
        <v>5582</v>
      </c>
    </row>
    <row r="5535" ht="14.25" customHeight="1">
      <c r="G5535" s="3" t="s">
        <v>5583</v>
      </c>
    </row>
    <row r="5536" ht="14.25" customHeight="1">
      <c r="G5536" s="3" t="s">
        <v>5584</v>
      </c>
    </row>
    <row r="5537" ht="14.25" customHeight="1">
      <c r="G5537" s="3" t="s">
        <v>5585</v>
      </c>
    </row>
    <row r="5538" ht="14.25" customHeight="1">
      <c r="G5538" s="3" t="s">
        <v>5586</v>
      </c>
    </row>
    <row r="5539" ht="14.25" customHeight="1">
      <c r="G5539" s="3" t="s">
        <v>5587</v>
      </c>
    </row>
    <row r="5540" ht="14.25" customHeight="1">
      <c r="G5540" s="3" t="s">
        <v>5588</v>
      </c>
    </row>
    <row r="5541" ht="14.25" customHeight="1">
      <c r="G5541" s="3" t="s">
        <v>5589</v>
      </c>
    </row>
    <row r="5542" ht="14.25" customHeight="1">
      <c r="G5542" s="3" t="s">
        <v>5590</v>
      </c>
    </row>
    <row r="5543" ht="14.25" customHeight="1">
      <c r="G5543" s="3" t="s">
        <v>5591</v>
      </c>
    </row>
    <row r="5544" ht="14.25" customHeight="1">
      <c r="G5544" s="3" t="s">
        <v>5592</v>
      </c>
    </row>
    <row r="5545" ht="14.25" customHeight="1">
      <c r="G5545" s="3" t="s">
        <v>5593</v>
      </c>
    </row>
    <row r="5546" ht="14.25" customHeight="1">
      <c r="G5546" s="3" t="s">
        <v>5594</v>
      </c>
    </row>
    <row r="5547" ht="14.25" customHeight="1">
      <c r="G5547" s="3" t="s">
        <v>5595</v>
      </c>
    </row>
    <row r="5548" ht="14.25" customHeight="1">
      <c r="G5548" s="3" t="s">
        <v>5596</v>
      </c>
    </row>
    <row r="5549" ht="14.25" customHeight="1">
      <c r="G5549" s="3" t="s">
        <v>5597</v>
      </c>
    </row>
    <row r="5550" ht="14.25" customHeight="1">
      <c r="G5550" s="3" t="s">
        <v>5598</v>
      </c>
    </row>
    <row r="5551" ht="14.25" customHeight="1">
      <c r="G5551" s="3" t="s">
        <v>5599</v>
      </c>
    </row>
    <row r="5552" ht="14.25" customHeight="1">
      <c r="G5552" s="3" t="s">
        <v>5600</v>
      </c>
    </row>
    <row r="5553" ht="14.25" customHeight="1">
      <c r="G5553" s="3" t="s">
        <v>5601</v>
      </c>
    </row>
    <row r="5554" ht="14.25" customHeight="1">
      <c r="G5554" s="3" t="s">
        <v>5602</v>
      </c>
    </row>
    <row r="5555" ht="14.25" customHeight="1">
      <c r="G5555" s="3" t="s">
        <v>5603</v>
      </c>
    </row>
    <row r="5556" ht="14.25" customHeight="1">
      <c r="G5556" s="3" t="s">
        <v>5604</v>
      </c>
    </row>
    <row r="5557" ht="14.25" customHeight="1">
      <c r="G5557" s="3" t="s">
        <v>5605</v>
      </c>
    </row>
    <row r="5558" ht="14.25" customHeight="1">
      <c r="G5558" s="3" t="s">
        <v>5606</v>
      </c>
    </row>
    <row r="5559" ht="14.25" customHeight="1">
      <c r="G5559" s="3" t="s">
        <v>5607</v>
      </c>
    </row>
    <row r="5560" ht="14.25" customHeight="1">
      <c r="G5560" s="3" t="s">
        <v>5608</v>
      </c>
    </row>
    <row r="5561" ht="14.25" customHeight="1">
      <c r="G5561" s="3" t="s">
        <v>5609</v>
      </c>
    </row>
    <row r="5562" ht="14.25" customHeight="1">
      <c r="G5562" s="3" t="s">
        <v>5610</v>
      </c>
    </row>
    <row r="5563" ht="14.25" customHeight="1">
      <c r="G5563" s="3" t="s">
        <v>5611</v>
      </c>
    </row>
    <row r="5564" ht="14.25" customHeight="1">
      <c r="G5564" s="3" t="s">
        <v>5612</v>
      </c>
    </row>
    <row r="5565" ht="14.25" customHeight="1">
      <c r="G5565" s="3" t="s">
        <v>5613</v>
      </c>
    </row>
    <row r="5566" ht="14.25" customHeight="1">
      <c r="G5566" s="3" t="s">
        <v>5614</v>
      </c>
    </row>
    <row r="5567" ht="14.25" customHeight="1">
      <c r="G5567" s="3" t="s">
        <v>5615</v>
      </c>
    </row>
    <row r="5568" ht="14.25" customHeight="1">
      <c r="G5568" s="3" t="s">
        <v>5616</v>
      </c>
    </row>
    <row r="5569" ht="14.25" customHeight="1">
      <c r="G5569" s="3" t="s">
        <v>5617</v>
      </c>
    </row>
    <row r="5570" ht="14.25" customHeight="1">
      <c r="G5570" s="3" t="s">
        <v>5618</v>
      </c>
    </row>
    <row r="5571" ht="14.25" customHeight="1">
      <c r="G5571" s="3" t="s">
        <v>5619</v>
      </c>
    </row>
    <row r="5572" ht="14.25" customHeight="1">
      <c r="G5572" s="3" t="s">
        <v>5620</v>
      </c>
    </row>
    <row r="5573" ht="14.25" customHeight="1">
      <c r="G5573" s="2"/>
    </row>
    <row r="5574" ht="14.25" customHeight="1">
      <c r="G5574" s="2"/>
    </row>
    <row r="5575" ht="14.25" customHeight="1">
      <c r="G5575" s="2"/>
    </row>
    <row r="5576" ht="14.25" customHeight="1">
      <c r="G5576" s="2"/>
    </row>
    <row r="5577" ht="14.25" customHeight="1">
      <c r="G5577" s="2"/>
    </row>
    <row r="5578" ht="14.25" customHeight="1">
      <c r="G5578" s="2"/>
    </row>
    <row r="5579" ht="14.25" customHeight="1">
      <c r="G5579" s="2"/>
    </row>
    <row r="5580" ht="14.25" customHeight="1">
      <c r="G5580" s="2"/>
    </row>
    <row r="5581" ht="14.25" customHeight="1">
      <c r="G5581" s="2"/>
    </row>
    <row r="5582" ht="14.25" customHeight="1">
      <c r="G5582" s="2"/>
    </row>
    <row r="5583" ht="14.25" customHeight="1">
      <c r="G5583" s="2"/>
    </row>
    <row r="5584" ht="14.25" customHeight="1">
      <c r="G5584" s="2"/>
    </row>
    <row r="5585" ht="14.25" customHeight="1">
      <c r="G5585" s="2"/>
    </row>
    <row r="5586" ht="14.25" customHeight="1">
      <c r="G5586" s="2"/>
    </row>
    <row r="5587" ht="14.25" customHeight="1">
      <c r="G5587" s="2"/>
    </row>
    <row r="5588" ht="14.25" customHeight="1">
      <c r="G5588" s="2"/>
    </row>
    <row r="5589" ht="14.25" customHeight="1">
      <c r="G5589" s="2"/>
    </row>
    <row r="5590" ht="14.25" customHeight="1">
      <c r="G5590" s="2"/>
    </row>
    <row r="5591" ht="14.25" customHeight="1">
      <c r="G5591" s="2"/>
    </row>
    <row r="5592" ht="14.25" customHeight="1">
      <c r="G5592" s="2"/>
    </row>
    <row r="5593" ht="14.25" customHeight="1">
      <c r="G5593" s="2"/>
    </row>
    <row r="5594" ht="14.25" customHeight="1">
      <c r="G5594" s="2"/>
    </row>
    <row r="5595" ht="14.25" customHeight="1">
      <c r="G5595" s="2"/>
    </row>
    <row r="5596" ht="14.25" customHeight="1">
      <c r="G5596" s="2"/>
    </row>
    <row r="5597" ht="14.25" customHeight="1">
      <c r="G5597" s="2"/>
    </row>
    <row r="5598" ht="14.25" customHeight="1">
      <c r="G5598" s="2"/>
    </row>
    <row r="5599" ht="14.25" customHeight="1">
      <c r="G5599" s="2"/>
    </row>
    <row r="5600" ht="14.25" customHeight="1">
      <c r="G5600" s="2"/>
    </row>
    <row r="5601" ht="14.25" customHeight="1">
      <c r="G5601" s="2"/>
    </row>
    <row r="5602" ht="14.25" customHeight="1">
      <c r="G5602" s="2"/>
    </row>
    <row r="5603" ht="14.25" customHeight="1">
      <c r="G5603" s="2"/>
    </row>
    <row r="5604" ht="14.25" customHeight="1">
      <c r="G5604" s="2"/>
    </row>
    <row r="5605" ht="14.25" customHeight="1">
      <c r="G5605" s="2"/>
    </row>
    <row r="5606" ht="14.25" customHeight="1">
      <c r="G5606" s="2"/>
    </row>
    <row r="5607" ht="14.25" customHeight="1">
      <c r="G5607" s="2"/>
    </row>
    <row r="5608" ht="14.25" customHeight="1">
      <c r="G5608" s="2"/>
    </row>
    <row r="5609" ht="14.25" customHeight="1">
      <c r="G5609" s="2"/>
    </row>
    <row r="5610" ht="14.25" customHeight="1">
      <c r="G5610" s="2"/>
    </row>
    <row r="5611" ht="14.25" customHeight="1">
      <c r="G5611" s="2"/>
    </row>
    <row r="5612" ht="14.25" customHeight="1">
      <c r="G5612" s="2"/>
    </row>
    <row r="5613" ht="14.25" customHeight="1">
      <c r="G5613" s="2"/>
    </row>
    <row r="5614" ht="14.25" customHeight="1">
      <c r="G5614" s="2"/>
    </row>
    <row r="5615" ht="14.25" customHeight="1">
      <c r="G5615" s="2"/>
    </row>
    <row r="5616" ht="14.25" customHeight="1">
      <c r="G5616" s="2"/>
    </row>
    <row r="5617" ht="14.25" customHeight="1">
      <c r="G5617" s="2"/>
    </row>
    <row r="5618" ht="14.25" customHeight="1">
      <c r="G5618" s="2"/>
    </row>
    <row r="5619" ht="14.25" customHeight="1">
      <c r="G5619" s="2"/>
    </row>
    <row r="5620" ht="14.25" customHeight="1">
      <c r="G5620" s="2"/>
    </row>
    <row r="5621" ht="14.25" customHeight="1">
      <c r="G5621" s="2"/>
    </row>
    <row r="5622" ht="14.25" customHeight="1">
      <c r="G5622" s="2"/>
    </row>
    <row r="5623" ht="14.25" customHeight="1">
      <c r="G5623" s="2"/>
    </row>
    <row r="5624" ht="14.25" customHeight="1">
      <c r="G5624" s="2"/>
    </row>
    <row r="5625" ht="14.25" customHeight="1">
      <c r="G5625" s="2"/>
    </row>
    <row r="5626" ht="14.25" customHeight="1">
      <c r="G5626" s="2"/>
    </row>
    <row r="5627" ht="14.25" customHeight="1">
      <c r="G5627" s="2"/>
    </row>
    <row r="5628" ht="14.25" customHeight="1">
      <c r="G5628" s="2"/>
    </row>
    <row r="5629" ht="14.25" customHeight="1">
      <c r="G5629" s="2"/>
    </row>
    <row r="5630" ht="14.25" customHeight="1">
      <c r="G5630" s="2"/>
    </row>
    <row r="5631" ht="14.25" customHeight="1">
      <c r="G5631" s="2"/>
    </row>
    <row r="5632" ht="14.25" customHeight="1">
      <c r="G5632" s="2"/>
    </row>
    <row r="5633" ht="14.25" customHeight="1">
      <c r="G5633" s="2"/>
    </row>
    <row r="5634" ht="14.25" customHeight="1">
      <c r="G5634" s="2"/>
    </row>
    <row r="5635" ht="14.25" customHeight="1">
      <c r="G5635" s="2"/>
    </row>
    <row r="5636" ht="14.25" customHeight="1">
      <c r="G5636" s="2"/>
    </row>
    <row r="5637" ht="14.25" customHeight="1">
      <c r="G5637" s="2"/>
    </row>
    <row r="5638" ht="14.25" customHeight="1">
      <c r="G5638" s="2"/>
    </row>
    <row r="5639" ht="14.25" customHeight="1">
      <c r="G5639" s="2"/>
    </row>
    <row r="5640" ht="14.25" customHeight="1">
      <c r="G5640" s="2"/>
    </row>
    <row r="5641" ht="14.25" customHeight="1">
      <c r="G5641" s="2"/>
    </row>
    <row r="5642" ht="14.25" customHeight="1">
      <c r="G5642" s="2"/>
    </row>
    <row r="5643" ht="14.25" customHeight="1">
      <c r="G5643" s="2"/>
    </row>
    <row r="5644" ht="14.25" customHeight="1">
      <c r="G5644" s="2"/>
    </row>
    <row r="5645" ht="14.25" customHeight="1">
      <c r="G5645" s="2"/>
    </row>
    <row r="5646" ht="14.25" customHeight="1">
      <c r="G5646" s="2"/>
    </row>
    <row r="5647" ht="14.25" customHeight="1">
      <c r="G5647" s="2"/>
    </row>
    <row r="5648" ht="14.25" customHeight="1">
      <c r="G5648" s="2"/>
    </row>
    <row r="5649" ht="14.25" customHeight="1">
      <c r="G5649" s="2"/>
    </row>
    <row r="5650" ht="14.25" customHeight="1">
      <c r="G5650" s="2"/>
    </row>
    <row r="5651" ht="14.25" customHeight="1">
      <c r="G5651" s="2"/>
    </row>
    <row r="5652" ht="14.25" customHeight="1">
      <c r="G5652" s="2"/>
    </row>
    <row r="5653" ht="14.25" customHeight="1">
      <c r="G5653" s="2"/>
    </row>
    <row r="5654" ht="14.25" customHeight="1">
      <c r="G5654" s="2"/>
    </row>
    <row r="5655" ht="14.25" customHeight="1">
      <c r="G5655" s="2"/>
    </row>
    <row r="5656" ht="14.25" customHeight="1">
      <c r="G5656" s="2"/>
    </row>
    <row r="5657" ht="14.25" customHeight="1">
      <c r="G5657" s="2"/>
    </row>
    <row r="5658" ht="14.25" customHeight="1">
      <c r="G5658" s="2"/>
    </row>
    <row r="5659" ht="14.25" customHeight="1">
      <c r="G5659" s="2"/>
    </row>
    <row r="5660" ht="14.25" customHeight="1">
      <c r="G5660" s="2"/>
    </row>
    <row r="5661" ht="14.25" customHeight="1">
      <c r="G5661" s="2"/>
    </row>
    <row r="5662" ht="14.25" customHeight="1">
      <c r="G5662" s="2"/>
    </row>
    <row r="5663" ht="14.25" customHeight="1">
      <c r="G5663" s="2"/>
    </row>
    <row r="5664" ht="14.25" customHeight="1">
      <c r="G5664" s="2"/>
    </row>
    <row r="5665" ht="14.25" customHeight="1">
      <c r="G5665" s="2"/>
    </row>
    <row r="5666" ht="14.25" customHeight="1">
      <c r="G5666" s="2"/>
    </row>
    <row r="5667" ht="14.25" customHeight="1">
      <c r="G5667" s="2"/>
    </row>
    <row r="5668" ht="14.25" customHeight="1">
      <c r="G5668" s="2"/>
    </row>
    <row r="5669" ht="14.25" customHeight="1">
      <c r="G5669" s="2"/>
    </row>
    <row r="5670" ht="14.25" customHeight="1">
      <c r="G5670" s="2"/>
    </row>
    <row r="5671" ht="14.25" customHeight="1">
      <c r="G5671" s="2"/>
    </row>
    <row r="5672" ht="14.25" customHeight="1">
      <c r="G5672" s="2"/>
    </row>
    <row r="5673" ht="14.25" customHeight="1">
      <c r="G5673" s="2"/>
    </row>
    <row r="5674" ht="14.25" customHeight="1">
      <c r="G5674" s="2"/>
    </row>
    <row r="5675" ht="14.25" customHeight="1">
      <c r="G5675" s="2"/>
    </row>
    <row r="5676" ht="14.25" customHeight="1">
      <c r="G5676" s="2"/>
    </row>
    <row r="5677" ht="14.25" customHeight="1">
      <c r="G5677" s="2"/>
    </row>
    <row r="5678" ht="14.25" customHeight="1">
      <c r="G5678" s="2"/>
    </row>
    <row r="5679" ht="14.25" customHeight="1">
      <c r="G5679" s="2"/>
    </row>
    <row r="5680" ht="14.25" customHeight="1">
      <c r="G5680" s="2"/>
    </row>
    <row r="5681" ht="14.25" customHeight="1">
      <c r="G5681" s="2"/>
    </row>
    <row r="5682" ht="14.25" customHeight="1">
      <c r="G5682" s="2"/>
    </row>
    <row r="5683" ht="14.25" customHeight="1">
      <c r="G5683" s="2"/>
    </row>
    <row r="5684" ht="14.25" customHeight="1">
      <c r="G5684" s="2"/>
    </row>
    <row r="5685" ht="14.25" customHeight="1">
      <c r="G5685" s="2"/>
    </row>
    <row r="5686" ht="14.25" customHeight="1">
      <c r="G5686" s="2"/>
    </row>
    <row r="5687" ht="14.25" customHeight="1">
      <c r="G5687" s="2"/>
    </row>
    <row r="5688" ht="14.25" customHeight="1">
      <c r="G5688" s="2"/>
    </row>
    <row r="5689" ht="14.25" customHeight="1">
      <c r="G5689" s="2"/>
    </row>
    <row r="5690" ht="14.25" customHeight="1">
      <c r="G5690" s="2"/>
    </row>
    <row r="5691" ht="14.25" customHeight="1">
      <c r="G5691" s="2"/>
    </row>
    <row r="5692" ht="14.25" customHeight="1">
      <c r="G5692" s="2"/>
    </row>
    <row r="5693" ht="14.25" customHeight="1">
      <c r="G5693" s="2"/>
    </row>
    <row r="5694" ht="14.25" customHeight="1">
      <c r="G5694" s="2"/>
    </row>
    <row r="5695" ht="14.25" customHeight="1">
      <c r="G5695" s="2"/>
    </row>
    <row r="5696" ht="14.25" customHeight="1">
      <c r="G5696" s="2"/>
    </row>
    <row r="5697" ht="14.25" customHeight="1">
      <c r="G5697" s="2"/>
    </row>
    <row r="5698" ht="14.25" customHeight="1">
      <c r="G5698" s="2"/>
    </row>
    <row r="5699" ht="14.25" customHeight="1">
      <c r="G5699" s="2"/>
    </row>
    <row r="5700" ht="14.25" customHeight="1">
      <c r="G5700" s="2"/>
    </row>
    <row r="5701" ht="14.25" customHeight="1">
      <c r="G5701" s="2"/>
    </row>
    <row r="5702" ht="14.25" customHeight="1">
      <c r="G5702" s="2"/>
    </row>
    <row r="5703" ht="14.25" customHeight="1">
      <c r="G5703" s="2"/>
    </row>
    <row r="5704" ht="14.25" customHeight="1">
      <c r="G5704" s="2"/>
    </row>
    <row r="5705" ht="14.25" customHeight="1">
      <c r="G5705" s="2"/>
    </row>
    <row r="5706" ht="14.25" customHeight="1">
      <c r="G5706" s="2"/>
    </row>
    <row r="5707" ht="14.25" customHeight="1">
      <c r="G5707" s="2"/>
    </row>
    <row r="5708" ht="14.25" customHeight="1">
      <c r="G5708" s="2"/>
    </row>
    <row r="5709" ht="14.25" customHeight="1">
      <c r="G5709" s="2"/>
    </row>
    <row r="5710" ht="14.25" customHeight="1">
      <c r="G5710" s="2"/>
    </row>
    <row r="5711" ht="14.25" customHeight="1">
      <c r="G5711" s="2"/>
    </row>
    <row r="5712" ht="14.25" customHeight="1">
      <c r="G5712" s="2"/>
    </row>
    <row r="5713" ht="14.25" customHeight="1">
      <c r="G5713" s="2"/>
    </row>
    <row r="5714" ht="14.25" customHeight="1">
      <c r="G5714" s="2"/>
    </row>
    <row r="5715" ht="14.25" customHeight="1">
      <c r="G5715" s="2"/>
    </row>
    <row r="5716" ht="14.25" customHeight="1">
      <c r="G5716" s="2"/>
    </row>
    <row r="5717" ht="14.25" customHeight="1">
      <c r="G5717" s="2"/>
    </row>
    <row r="5718" ht="14.25" customHeight="1">
      <c r="G5718" s="2"/>
    </row>
    <row r="5719" ht="14.25" customHeight="1">
      <c r="G5719" s="2"/>
    </row>
    <row r="5720" ht="14.25" customHeight="1">
      <c r="G5720" s="2"/>
    </row>
    <row r="5721" ht="14.25" customHeight="1">
      <c r="G5721" s="2"/>
    </row>
    <row r="5722" ht="14.25" customHeight="1">
      <c r="G5722" s="2"/>
    </row>
    <row r="5723" ht="14.25" customHeight="1">
      <c r="G5723" s="2"/>
    </row>
    <row r="5724" ht="14.25" customHeight="1">
      <c r="G5724" s="2"/>
    </row>
    <row r="5725" ht="14.25" customHeight="1">
      <c r="G5725" s="2"/>
    </row>
    <row r="5726" ht="14.25" customHeight="1">
      <c r="G5726" s="2"/>
    </row>
    <row r="5727" ht="14.25" customHeight="1">
      <c r="G5727" s="2"/>
    </row>
    <row r="5728" ht="14.25" customHeight="1">
      <c r="G5728" s="2"/>
    </row>
    <row r="5729" ht="14.25" customHeight="1">
      <c r="G5729" s="2"/>
    </row>
    <row r="5730" ht="14.25" customHeight="1">
      <c r="G5730" s="2"/>
    </row>
    <row r="5731" ht="14.25" customHeight="1">
      <c r="G5731" s="2"/>
    </row>
    <row r="5732" ht="14.25" customHeight="1">
      <c r="G5732" s="2"/>
    </row>
    <row r="5733" ht="14.25" customHeight="1">
      <c r="G5733" s="2"/>
    </row>
    <row r="5734" ht="14.25" customHeight="1">
      <c r="G5734" s="2"/>
    </row>
    <row r="5735" ht="14.25" customHeight="1">
      <c r="G5735" s="2"/>
    </row>
    <row r="5736" ht="14.25" customHeight="1">
      <c r="G5736" s="2"/>
    </row>
    <row r="5737" ht="14.25" customHeight="1">
      <c r="G5737" s="2"/>
    </row>
    <row r="5738" ht="14.25" customHeight="1">
      <c r="G5738" s="2"/>
    </row>
    <row r="5739" ht="14.25" customHeight="1">
      <c r="G5739" s="2"/>
    </row>
    <row r="5740" ht="14.25" customHeight="1">
      <c r="G5740" s="2"/>
    </row>
    <row r="5741" ht="14.25" customHeight="1">
      <c r="G5741" s="2"/>
    </row>
    <row r="5742" ht="14.25" customHeight="1">
      <c r="G5742" s="2"/>
    </row>
    <row r="5743" ht="14.25" customHeight="1">
      <c r="G5743" s="2"/>
    </row>
    <row r="5744" ht="14.25" customHeight="1">
      <c r="G5744" s="2"/>
    </row>
    <row r="5745" ht="14.25" customHeight="1">
      <c r="G5745" s="2"/>
    </row>
    <row r="5746" ht="14.25" customHeight="1">
      <c r="G5746" s="2"/>
    </row>
    <row r="5747" ht="14.25" customHeight="1">
      <c r="G5747" s="2"/>
    </row>
    <row r="5748" ht="14.25" customHeight="1">
      <c r="G5748" s="2"/>
    </row>
    <row r="5749" ht="14.25" customHeight="1">
      <c r="G5749" s="2"/>
    </row>
    <row r="5750" ht="14.25" customHeight="1">
      <c r="G5750" s="2"/>
    </row>
    <row r="5751" ht="14.25" customHeight="1">
      <c r="G5751" s="2"/>
    </row>
    <row r="5752" ht="14.25" customHeight="1">
      <c r="G5752" s="2"/>
    </row>
    <row r="5753" ht="14.25" customHeight="1">
      <c r="G5753" s="2"/>
    </row>
    <row r="5754" ht="14.25" customHeight="1">
      <c r="G5754" s="2"/>
    </row>
    <row r="5755" ht="14.25" customHeight="1">
      <c r="G5755" s="2"/>
    </row>
    <row r="5756" ht="14.25" customHeight="1">
      <c r="G5756" s="2"/>
    </row>
    <row r="5757" ht="14.25" customHeight="1">
      <c r="G5757" s="2"/>
    </row>
    <row r="5758" ht="14.25" customHeight="1">
      <c r="G5758" s="2"/>
    </row>
    <row r="5759" ht="14.25" customHeight="1">
      <c r="G5759" s="2"/>
    </row>
    <row r="5760" ht="14.25" customHeight="1">
      <c r="G5760" s="2"/>
    </row>
    <row r="5761" ht="14.25" customHeight="1">
      <c r="G5761" s="2"/>
    </row>
    <row r="5762" ht="14.25" customHeight="1">
      <c r="G5762" s="2"/>
    </row>
    <row r="5763" ht="14.25" customHeight="1">
      <c r="G5763" s="2"/>
    </row>
    <row r="5764" ht="14.25" customHeight="1">
      <c r="G5764" s="2"/>
    </row>
    <row r="5765" ht="14.25" customHeight="1">
      <c r="G5765" s="2"/>
    </row>
    <row r="5766" ht="14.25" customHeight="1">
      <c r="G5766" s="2"/>
    </row>
    <row r="5767" ht="14.25" customHeight="1">
      <c r="G5767" s="2"/>
    </row>
    <row r="5768" ht="14.25" customHeight="1">
      <c r="G5768" s="2"/>
    </row>
    <row r="5769" ht="14.25" customHeight="1">
      <c r="G5769" s="2"/>
    </row>
    <row r="5770" ht="14.25" customHeight="1">
      <c r="G5770" s="2"/>
    </row>
    <row r="5771" ht="14.25" customHeight="1">
      <c r="G5771" s="2"/>
    </row>
    <row r="5772" ht="14.25" customHeight="1">
      <c r="G5772" s="2"/>
    </row>
    <row r="5773" ht="14.25" customHeight="1">
      <c r="G5773" s="2"/>
    </row>
    <row r="5774" ht="14.25" customHeight="1">
      <c r="G5774" s="2"/>
    </row>
    <row r="5775" ht="14.25" customHeight="1">
      <c r="G5775" s="2"/>
    </row>
    <row r="5776" ht="14.25" customHeight="1">
      <c r="G5776" s="2"/>
    </row>
    <row r="5777" ht="14.25" customHeight="1">
      <c r="G5777" s="2"/>
    </row>
    <row r="5778" ht="14.25" customHeight="1">
      <c r="G5778" s="2"/>
    </row>
    <row r="5779" ht="14.25" customHeight="1">
      <c r="G5779" s="2"/>
    </row>
    <row r="5780" ht="14.25" customHeight="1">
      <c r="G5780" s="2"/>
    </row>
    <row r="5781" ht="14.25" customHeight="1">
      <c r="G5781" s="2"/>
    </row>
    <row r="5782" ht="14.25" customHeight="1">
      <c r="G5782" s="2"/>
    </row>
    <row r="5783" ht="14.25" customHeight="1">
      <c r="G5783" s="2"/>
    </row>
    <row r="5784" ht="14.25" customHeight="1">
      <c r="G5784" s="2"/>
    </row>
    <row r="5785" ht="14.25" customHeight="1">
      <c r="G5785" s="2"/>
    </row>
    <row r="5786" ht="14.25" customHeight="1">
      <c r="G5786" s="2"/>
    </row>
    <row r="5787" ht="14.25" customHeight="1">
      <c r="G5787" s="2"/>
    </row>
    <row r="5788" ht="14.25" customHeight="1">
      <c r="G5788" s="2"/>
    </row>
    <row r="5789" ht="14.25" customHeight="1">
      <c r="G5789" s="2"/>
    </row>
    <row r="5790" ht="14.25" customHeight="1">
      <c r="G5790" s="2"/>
    </row>
    <row r="5791" ht="14.25" customHeight="1">
      <c r="G5791" s="2"/>
    </row>
    <row r="5792" ht="14.25" customHeight="1">
      <c r="G5792" s="2"/>
    </row>
    <row r="5793" ht="14.25" customHeight="1">
      <c r="G5793" s="2"/>
    </row>
    <row r="5794" ht="14.25" customHeight="1">
      <c r="G5794" s="2"/>
    </row>
    <row r="5795" ht="14.25" customHeight="1">
      <c r="G5795" s="2"/>
    </row>
    <row r="5796" ht="14.25" customHeight="1">
      <c r="G5796" s="2"/>
    </row>
    <row r="5797" ht="14.25" customHeight="1">
      <c r="G5797" s="2"/>
    </row>
    <row r="5798" ht="14.25" customHeight="1">
      <c r="G5798" s="2"/>
    </row>
    <row r="5799" ht="14.25" customHeight="1">
      <c r="G5799" s="2"/>
    </row>
    <row r="5800" ht="14.25" customHeight="1">
      <c r="G5800" s="2"/>
    </row>
    <row r="5801" ht="14.25" customHeight="1">
      <c r="G5801" s="2"/>
    </row>
    <row r="5802" ht="14.25" customHeight="1">
      <c r="G5802" s="2"/>
    </row>
    <row r="5803" ht="14.25" customHeight="1">
      <c r="G5803" s="2"/>
    </row>
    <row r="5804" ht="14.25" customHeight="1">
      <c r="G5804" s="2"/>
    </row>
    <row r="5805" ht="14.25" customHeight="1">
      <c r="G5805" s="2"/>
    </row>
    <row r="5806" ht="14.25" customHeight="1">
      <c r="G5806" s="2"/>
    </row>
    <row r="5807" ht="14.25" customHeight="1">
      <c r="G5807" s="2"/>
    </row>
    <row r="5808" ht="14.25" customHeight="1">
      <c r="G5808" s="2"/>
    </row>
    <row r="5809" ht="14.25" customHeight="1">
      <c r="G5809" s="2"/>
    </row>
    <row r="5810" ht="14.25" customHeight="1">
      <c r="G5810" s="2"/>
    </row>
    <row r="5811" ht="14.25" customHeight="1">
      <c r="G5811" s="2"/>
    </row>
    <row r="5812" ht="14.25" customHeight="1">
      <c r="G5812" s="2"/>
    </row>
    <row r="5813" ht="14.25" customHeight="1">
      <c r="G5813" s="2"/>
    </row>
    <row r="5814" ht="14.25" customHeight="1">
      <c r="G5814" s="2"/>
    </row>
    <row r="5815" ht="14.25" customHeight="1">
      <c r="G5815" s="2"/>
    </row>
    <row r="5816" ht="14.25" customHeight="1">
      <c r="G5816" s="2"/>
    </row>
    <row r="5817" ht="14.25" customHeight="1">
      <c r="G5817" s="2"/>
    </row>
    <row r="5818" ht="14.25" customHeight="1">
      <c r="G5818" s="2"/>
    </row>
    <row r="5819" ht="14.25" customHeight="1">
      <c r="G5819" s="2"/>
    </row>
    <row r="5820" ht="14.25" customHeight="1">
      <c r="G5820" s="2"/>
    </row>
    <row r="5821" ht="14.25" customHeight="1">
      <c r="G5821" s="2"/>
    </row>
    <row r="5822" ht="14.25" customHeight="1">
      <c r="G5822" s="2"/>
    </row>
    <row r="5823" ht="14.25" customHeight="1">
      <c r="G5823" s="2"/>
    </row>
    <row r="5824" ht="14.25" customHeight="1">
      <c r="G5824" s="2"/>
    </row>
    <row r="5825" ht="14.25" customHeight="1">
      <c r="G5825" s="2"/>
    </row>
    <row r="5826" ht="14.25" customHeight="1">
      <c r="G5826" s="2"/>
    </row>
    <row r="5827" ht="14.25" customHeight="1">
      <c r="G5827" s="2"/>
    </row>
    <row r="5828" ht="14.25" customHeight="1">
      <c r="G5828" s="2"/>
    </row>
    <row r="5829" ht="14.25" customHeight="1">
      <c r="G5829" s="2"/>
    </row>
    <row r="5830" ht="14.25" customHeight="1">
      <c r="G5830" s="2"/>
    </row>
    <row r="5831" ht="14.25" customHeight="1">
      <c r="G5831" s="2"/>
    </row>
    <row r="5832" ht="14.25" customHeight="1">
      <c r="G5832" s="2"/>
    </row>
    <row r="5833" ht="14.25" customHeight="1">
      <c r="G5833" s="2"/>
    </row>
    <row r="5834" ht="14.25" customHeight="1">
      <c r="G5834" s="2"/>
    </row>
    <row r="5835" ht="14.25" customHeight="1">
      <c r="G5835" s="2"/>
    </row>
    <row r="5836" ht="14.25" customHeight="1">
      <c r="G5836" s="2"/>
    </row>
    <row r="5837" ht="14.25" customHeight="1">
      <c r="G5837" s="2"/>
    </row>
    <row r="5838" ht="14.25" customHeight="1">
      <c r="G5838" s="2"/>
    </row>
    <row r="5839" ht="14.25" customHeight="1">
      <c r="G5839" s="2"/>
    </row>
    <row r="5840" ht="14.25" customHeight="1">
      <c r="G5840" s="2"/>
    </row>
    <row r="5841" ht="14.25" customHeight="1">
      <c r="G5841" s="2"/>
    </row>
    <row r="5842" ht="14.25" customHeight="1">
      <c r="G5842" s="2"/>
    </row>
    <row r="5843" ht="14.25" customHeight="1">
      <c r="G5843" s="2"/>
    </row>
    <row r="5844" ht="14.25" customHeight="1">
      <c r="G5844" s="2"/>
    </row>
    <row r="5845" ht="14.25" customHeight="1">
      <c r="G5845" s="2"/>
    </row>
    <row r="5846" ht="14.25" customHeight="1">
      <c r="G5846" s="2"/>
    </row>
    <row r="5847" ht="14.25" customHeight="1">
      <c r="G5847" s="2"/>
    </row>
    <row r="5848" ht="14.25" customHeight="1">
      <c r="G5848" s="2"/>
    </row>
    <row r="5849" ht="14.25" customHeight="1">
      <c r="G5849" s="2"/>
    </row>
    <row r="5850" ht="14.25" customHeight="1">
      <c r="G5850" s="2"/>
    </row>
    <row r="5851" ht="14.25" customHeight="1">
      <c r="G5851" s="2"/>
    </row>
    <row r="5852" ht="14.25" customHeight="1">
      <c r="G5852" s="2"/>
    </row>
    <row r="5853" ht="14.25" customHeight="1">
      <c r="G5853" s="2"/>
    </row>
    <row r="5854" ht="14.25" customHeight="1">
      <c r="G5854" s="2"/>
    </row>
    <row r="5855" ht="14.25" customHeight="1">
      <c r="G5855" s="2"/>
    </row>
    <row r="5856" ht="14.25" customHeight="1">
      <c r="G5856" s="2"/>
    </row>
    <row r="5857" ht="14.25" customHeight="1">
      <c r="G5857" s="2"/>
    </row>
    <row r="5858" ht="14.25" customHeight="1">
      <c r="G5858" s="2"/>
    </row>
    <row r="5859" ht="14.25" customHeight="1">
      <c r="G5859" s="2"/>
    </row>
    <row r="5860" ht="14.25" customHeight="1">
      <c r="G5860" s="2"/>
    </row>
    <row r="5861" ht="14.25" customHeight="1">
      <c r="G5861" s="2"/>
    </row>
    <row r="5862" ht="14.25" customHeight="1">
      <c r="G5862" s="2"/>
    </row>
    <row r="5863" ht="14.25" customHeight="1">
      <c r="G5863" s="2"/>
    </row>
    <row r="5864" ht="14.25" customHeight="1">
      <c r="G5864" s="2"/>
    </row>
    <row r="5865" ht="14.25" customHeight="1">
      <c r="G5865" s="2"/>
    </row>
    <row r="5866" ht="14.25" customHeight="1">
      <c r="G5866" s="2"/>
    </row>
    <row r="5867" ht="14.25" customHeight="1">
      <c r="G5867" s="2"/>
    </row>
    <row r="5868" ht="14.25" customHeight="1">
      <c r="G5868" s="2"/>
    </row>
    <row r="5869" ht="14.25" customHeight="1">
      <c r="G5869" s="2"/>
    </row>
    <row r="5870" ht="14.25" customHeight="1">
      <c r="G5870" s="2"/>
    </row>
    <row r="5871" ht="14.25" customHeight="1">
      <c r="G5871" s="2"/>
    </row>
    <row r="5872" ht="14.25" customHeight="1">
      <c r="G5872" s="2"/>
    </row>
    <row r="5873" ht="14.25" customHeight="1">
      <c r="G5873" s="2"/>
    </row>
    <row r="5874" ht="14.25" customHeight="1">
      <c r="G5874" s="2"/>
    </row>
    <row r="5875" ht="14.25" customHeight="1">
      <c r="G5875" s="2"/>
    </row>
    <row r="5876" ht="14.25" customHeight="1">
      <c r="G5876" s="2"/>
    </row>
    <row r="5877" ht="14.25" customHeight="1">
      <c r="G5877" s="2"/>
    </row>
    <row r="5878" ht="14.25" customHeight="1">
      <c r="G5878" s="2"/>
    </row>
    <row r="5879" ht="14.25" customHeight="1">
      <c r="G5879" s="2"/>
    </row>
    <row r="5880" ht="14.25" customHeight="1">
      <c r="G5880" s="2"/>
    </row>
    <row r="5881" ht="14.25" customHeight="1">
      <c r="G5881" s="2"/>
    </row>
    <row r="5882" ht="14.25" customHeight="1">
      <c r="G5882" s="2"/>
    </row>
    <row r="5883" ht="14.25" customHeight="1">
      <c r="G5883" s="2"/>
    </row>
    <row r="5884" ht="14.25" customHeight="1">
      <c r="G5884" s="2"/>
    </row>
    <row r="5885" ht="14.25" customHeight="1">
      <c r="G5885" s="2"/>
    </row>
    <row r="5886" ht="14.25" customHeight="1">
      <c r="G5886" s="2"/>
    </row>
    <row r="5887" ht="14.25" customHeight="1">
      <c r="G5887" s="2"/>
    </row>
    <row r="5888" ht="14.25" customHeight="1">
      <c r="G5888" s="2"/>
    </row>
    <row r="5889" ht="14.25" customHeight="1">
      <c r="G5889" s="2"/>
    </row>
    <row r="5890" ht="14.25" customHeight="1">
      <c r="G5890" s="2"/>
    </row>
    <row r="5891" ht="14.25" customHeight="1">
      <c r="G5891" s="2"/>
    </row>
    <row r="5892" ht="14.25" customHeight="1">
      <c r="G5892" s="2"/>
    </row>
    <row r="5893" ht="14.25" customHeight="1">
      <c r="G5893" s="2"/>
    </row>
    <row r="5894" ht="14.25" customHeight="1">
      <c r="G5894" s="2"/>
    </row>
    <row r="5895" ht="14.25" customHeight="1">
      <c r="G5895" s="2"/>
    </row>
    <row r="5896" ht="14.25" customHeight="1">
      <c r="G5896" s="2"/>
    </row>
    <row r="5897" ht="14.25" customHeight="1">
      <c r="G5897" s="2"/>
    </row>
    <row r="5898" ht="14.25" customHeight="1">
      <c r="G5898" s="2"/>
    </row>
    <row r="5899" ht="14.25" customHeight="1">
      <c r="G5899" s="2"/>
    </row>
    <row r="5900" ht="14.25" customHeight="1">
      <c r="G5900" s="2"/>
    </row>
    <row r="5901" ht="14.25" customHeight="1">
      <c r="G5901" s="2"/>
    </row>
    <row r="5902" ht="14.25" customHeight="1">
      <c r="G5902" s="2"/>
    </row>
    <row r="5903" ht="14.25" customHeight="1">
      <c r="G5903" s="2"/>
    </row>
    <row r="5904" ht="14.25" customHeight="1">
      <c r="G5904" s="2"/>
    </row>
    <row r="5905" ht="14.25" customHeight="1">
      <c r="G5905" s="2"/>
    </row>
    <row r="5906" ht="14.25" customHeight="1">
      <c r="G5906" s="2"/>
    </row>
    <row r="5907" ht="14.25" customHeight="1">
      <c r="G5907" s="2"/>
    </row>
    <row r="5908" ht="14.25" customHeight="1">
      <c r="G5908" s="2"/>
    </row>
    <row r="5909" ht="14.25" customHeight="1">
      <c r="G5909" s="2"/>
    </row>
    <row r="5910" ht="14.25" customHeight="1">
      <c r="G5910" s="2"/>
    </row>
    <row r="5911" ht="14.25" customHeight="1">
      <c r="G5911" s="2"/>
    </row>
    <row r="5912" ht="14.25" customHeight="1">
      <c r="G5912" s="2"/>
    </row>
    <row r="5913" ht="14.25" customHeight="1">
      <c r="G5913" s="2"/>
    </row>
    <row r="5914" ht="14.25" customHeight="1">
      <c r="G5914" s="2"/>
    </row>
    <row r="5915" ht="14.25" customHeight="1">
      <c r="G5915" s="2"/>
    </row>
    <row r="5916" ht="14.25" customHeight="1">
      <c r="G5916" s="2"/>
    </row>
    <row r="5917" ht="14.25" customHeight="1">
      <c r="G5917" s="2"/>
    </row>
    <row r="5918" ht="14.25" customHeight="1">
      <c r="G5918" s="2"/>
    </row>
    <row r="5919" ht="14.25" customHeight="1">
      <c r="G5919" s="2"/>
    </row>
    <row r="5920" ht="14.25" customHeight="1">
      <c r="G5920" s="2"/>
    </row>
    <row r="5921" ht="14.25" customHeight="1">
      <c r="G5921" s="2"/>
    </row>
    <row r="5922" ht="14.25" customHeight="1">
      <c r="G5922" s="2"/>
    </row>
    <row r="5923" ht="14.25" customHeight="1">
      <c r="G5923" s="2"/>
    </row>
    <row r="5924" ht="14.25" customHeight="1">
      <c r="G5924" s="2"/>
    </row>
    <row r="5925" ht="14.25" customHeight="1">
      <c r="G5925" s="2"/>
    </row>
    <row r="5926" ht="14.25" customHeight="1">
      <c r="G5926" s="2"/>
    </row>
    <row r="5927" ht="14.25" customHeight="1">
      <c r="G5927" s="2"/>
    </row>
    <row r="5928" ht="14.25" customHeight="1">
      <c r="G5928" s="2"/>
    </row>
    <row r="5929" ht="14.25" customHeight="1">
      <c r="G5929" s="2"/>
    </row>
    <row r="5930" ht="14.25" customHeight="1">
      <c r="G5930" s="2"/>
    </row>
    <row r="5931" ht="14.25" customHeight="1">
      <c r="G5931" s="2"/>
    </row>
    <row r="5932" ht="14.25" customHeight="1">
      <c r="G5932" s="2"/>
    </row>
    <row r="5933" ht="14.25" customHeight="1">
      <c r="G5933" s="2"/>
    </row>
    <row r="5934" ht="14.25" customHeight="1">
      <c r="G5934" s="2"/>
    </row>
    <row r="5935" ht="14.25" customHeight="1">
      <c r="G5935" s="2"/>
    </row>
    <row r="5936" ht="14.25" customHeight="1">
      <c r="G5936" s="2"/>
    </row>
    <row r="5937" ht="14.25" customHeight="1">
      <c r="G5937" s="2"/>
    </row>
    <row r="5938" ht="14.25" customHeight="1">
      <c r="G5938" s="2"/>
    </row>
    <row r="5939" ht="14.25" customHeight="1">
      <c r="G5939" s="2"/>
    </row>
    <row r="5940" ht="14.25" customHeight="1">
      <c r="G5940" s="2"/>
    </row>
    <row r="5941" ht="14.25" customHeight="1">
      <c r="G5941" s="2"/>
    </row>
    <row r="5942" ht="14.25" customHeight="1">
      <c r="G5942" s="2"/>
    </row>
    <row r="5943" ht="14.25" customHeight="1">
      <c r="G5943" s="2"/>
    </row>
    <row r="5944" ht="14.25" customHeight="1">
      <c r="G5944" s="2"/>
    </row>
    <row r="5945" ht="14.25" customHeight="1">
      <c r="G5945" s="2"/>
    </row>
    <row r="5946" ht="14.25" customHeight="1">
      <c r="G5946" s="2"/>
    </row>
    <row r="5947" ht="14.25" customHeight="1">
      <c r="G5947" s="2"/>
    </row>
    <row r="5948" ht="14.25" customHeight="1">
      <c r="G5948" s="2"/>
    </row>
    <row r="5949" ht="14.25" customHeight="1">
      <c r="G5949" s="2"/>
    </row>
    <row r="5950" ht="14.25" customHeight="1">
      <c r="G5950" s="2"/>
    </row>
    <row r="5951" ht="14.25" customHeight="1">
      <c r="G5951" s="2"/>
    </row>
    <row r="5952" ht="14.25" customHeight="1">
      <c r="G5952" s="2"/>
    </row>
    <row r="5953" ht="14.25" customHeight="1">
      <c r="G5953" s="2"/>
    </row>
    <row r="5954" ht="14.25" customHeight="1">
      <c r="G5954" s="2"/>
    </row>
    <row r="5955" ht="14.25" customHeight="1">
      <c r="G5955" s="2"/>
    </row>
    <row r="5956" ht="14.25" customHeight="1">
      <c r="G5956" s="2"/>
    </row>
    <row r="5957" ht="14.25" customHeight="1">
      <c r="G5957" s="2"/>
    </row>
    <row r="5958" ht="14.25" customHeight="1">
      <c r="G5958" s="2"/>
    </row>
    <row r="5959" ht="14.25" customHeight="1">
      <c r="G5959" s="2"/>
    </row>
    <row r="5960" ht="14.25" customHeight="1">
      <c r="G5960" s="2"/>
    </row>
    <row r="5961" ht="14.25" customHeight="1">
      <c r="G5961" s="2"/>
    </row>
    <row r="5962" ht="14.25" customHeight="1">
      <c r="G5962" s="2"/>
    </row>
    <row r="5963" ht="14.25" customHeight="1">
      <c r="G5963" s="2"/>
    </row>
    <row r="5964" ht="14.25" customHeight="1">
      <c r="G5964" s="2"/>
    </row>
    <row r="5965" ht="14.25" customHeight="1">
      <c r="G5965" s="2"/>
    </row>
    <row r="5966" ht="14.25" customHeight="1">
      <c r="G5966" s="2"/>
    </row>
    <row r="5967" ht="14.25" customHeight="1">
      <c r="G5967" s="2"/>
    </row>
    <row r="5968" ht="14.25" customHeight="1">
      <c r="G5968" s="2"/>
    </row>
    <row r="5969" ht="14.25" customHeight="1">
      <c r="G5969" s="2"/>
    </row>
    <row r="5970" ht="14.25" customHeight="1">
      <c r="G5970" s="2"/>
    </row>
    <row r="5971" ht="14.25" customHeight="1">
      <c r="G5971" s="2"/>
    </row>
    <row r="5972" ht="14.25" customHeight="1">
      <c r="G5972" s="2"/>
    </row>
    <row r="5973" ht="14.25" customHeight="1">
      <c r="G5973" s="2"/>
    </row>
    <row r="5974" ht="14.25" customHeight="1">
      <c r="G5974" s="2"/>
    </row>
    <row r="5975" ht="14.25" customHeight="1">
      <c r="G5975" s="2"/>
    </row>
    <row r="5976" ht="14.25" customHeight="1">
      <c r="G5976" s="2"/>
    </row>
    <row r="5977" ht="14.25" customHeight="1">
      <c r="G5977" s="2"/>
    </row>
    <row r="5978" ht="14.25" customHeight="1">
      <c r="G5978" s="2"/>
    </row>
    <row r="5979" ht="14.25" customHeight="1">
      <c r="G5979" s="2"/>
    </row>
    <row r="5980" ht="14.25" customHeight="1">
      <c r="G5980" s="2"/>
    </row>
    <row r="5981" ht="14.25" customHeight="1">
      <c r="G5981" s="2"/>
    </row>
    <row r="5982" ht="14.25" customHeight="1">
      <c r="G5982" s="2"/>
    </row>
    <row r="5983" ht="14.25" customHeight="1">
      <c r="G5983" s="2"/>
    </row>
    <row r="5984" ht="14.25" customHeight="1">
      <c r="G5984" s="2"/>
    </row>
    <row r="5985" ht="14.25" customHeight="1">
      <c r="G5985" s="2"/>
    </row>
    <row r="5986" ht="14.25" customHeight="1">
      <c r="G5986" s="2"/>
    </row>
    <row r="5987" ht="14.25" customHeight="1">
      <c r="G5987" s="2"/>
    </row>
    <row r="5988" ht="14.25" customHeight="1">
      <c r="G5988" s="2"/>
    </row>
    <row r="5989" ht="14.25" customHeight="1">
      <c r="G5989" s="2"/>
    </row>
    <row r="5990" ht="14.25" customHeight="1">
      <c r="G5990" s="2"/>
    </row>
    <row r="5991" ht="14.25" customHeight="1">
      <c r="G5991" s="2"/>
    </row>
    <row r="5992" ht="14.25" customHeight="1">
      <c r="G5992" s="2"/>
    </row>
    <row r="5993" ht="14.25" customHeight="1">
      <c r="G5993" s="2"/>
    </row>
    <row r="5994" ht="14.25" customHeight="1">
      <c r="G5994" s="2"/>
    </row>
    <row r="5995" ht="14.25" customHeight="1">
      <c r="G5995" s="2"/>
    </row>
    <row r="5996" ht="14.25" customHeight="1">
      <c r="G5996" s="2"/>
    </row>
    <row r="5997" ht="14.25" customHeight="1">
      <c r="G5997" s="2"/>
    </row>
    <row r="5998" ht="14.25" customHeight="1">
      <c r="G5998" s="2"/>
    </row>
    <row r="5999" ht="14.25" customHeight="1">
      <c r="G5999" s="2"/>
    </row>
    <row r="6000" ht="14.25" customHeight="1">
      <c r="G6000" s="2"/>
    </row>
    <row r="6001" ht="14.25" customHeight="1">
      <c r="G6001" s="2"/>
    </row>
    <row r="6002" ht="14.25" customHeight="1">
      <c r="G6002" s="2"/>
    </row>
    <row r="6003" ht="14.25" customHeight="1">
      <c r="G6003" s="2"/>
    </row>
    <row r="6004" ht="14.25" customHeight="1">
      <c r="G6004" s="2"/>
    </row>
    <row r="6005" ht="14.25" customHeight="1">
      <c r="G6005" s="2"/>
    </row>
    <row r="6006" ht="14.25" customHeight="1">
      <c r="G6006" s="2"/>
    </row>
    <row r="6007" ht="14.25" customHeight="1">
      <c r="G6007" s="2"/>
    </row>
    <row r="6008" ht="14.25" customHeight="1">
      <c r="G6008" s="2"/>
    </row>
    <row r="6009" ht="14.25" customHeight="1">
      <c r="G6009" s="2"/>
    </row>
    <row r="6010" ht="14.25" customHeight="1">
      <c r="G6010" s="2"/>
    </row>
    <row r="6011" ht="14.25" customHeight="1">
      <c r="G6011" s="2"/>
    </row>
    <row r="6012" ht="14.25" customHeight="1">
      <c r="G6012" s="2"/>
    </row>
    <row r="6013" ht="14.25" customHeight="1">
      <c r="G6013" s="2"/>
    </row>
    <row r="6014" ht="14.25" customHeight="1">
      <c r="G6014" s="2"/>
    </row>
    <row r="6015" ht="14.25" customHeight="1">
      <c r="G6015" s="2"/>
    </row>
    <row r="6016" ht="14.25" customHeight="1">
      <c r="G6016" s="2"/>
    </row>
    <row r="6017" ht="14.25" customHeight="1">
      <c r="G6017" s="2"/>
    </row>
    <row r="6018" ht="14.25" customHeight="1">
      <c r="G6018" s="2"/>
    </row>
    <row r="6019" ht="14.25" customHeight="1">
      <c r="G6019" s="2"/>
    </row>
    <row r="6020" ht="14.25" customHeight="1">
      <c r="G6020" s="2"/>
    </row>
    <row r="6021" ht="14.25" customHeight="1">
      <c r="G6021" s="2"/>
    </row>
    <row r="6022" ht="14.25" customHeight="1">
      <c r="G6022" s="2"/>
    </row>
    <row r="6023" ht="14.25" customHeight="1">
      <c r="G6023" s="2"/>
    </row>
    <row r="6024" ht="14.25" customHeight="1">
      <c r="G6024" s="2"/>
    </row>
    <row r="6025" ht="14.25" customHeight="1">
      <c r="G6025" s="2"/>
    </row>
    <row r="6026" ht="14.25" customHeight="1">
      <c r="G6026" s="2"/>
    </row>
    <row r="6027" ht="14.25" customHeight="1">
      <c r="G6027" s="2"/>
    </row>
    <row r="6028" ht="14.25" customHeight="1">
      <c r="G6028" s="2"/>
    </row>
    <row r="6029" ht="14.25" customHeight="1">
      <c r="G6029" s="2"/>
    </row>
    <row r="6030" ht="14.25" customHeight="1">
      <c r="G6030" s="2"/>
    </row>
    <row r="6031" ht="14.25" customHeight="1">
      <c r="G6031" s="2"/>
    </row>
    <row r="6032" ht="14.25" customHeight="1">
      <c r="G6032" s="2"/>
    </row>
    <row r="6033" ht="14.25" customHeight="1">
      <c r="G6033" s="2"/>
    </row>
    <row r="6034" ht="14.25" customHeight="1">
      <c r="G6034" s="2"/>
    </row>
    <row r="6035" ht="14.25" customHeight="1">
      <c r="G6035" s="2"/>
    </row>
    <row r="6036" ht="14.25" customHeight="1">
      <c r="G6036" s="2"/>
    </row>
    <row r="6037" ht="14.25" customHeight="1">
      <c r="G6037" s="2"/>
    </row>
    <row r="6038" ht="14.25" customHeight="1">
      <c r="G6038" s="2"/>
    </row>
    <row r="6039" ht="14.25" customHeight="1">
      <c r="G6039" s="2"/>
    </row>
    <row r="6040" ht="14.25" customHeight="1">
      <c r="G6040" s="2"/>
    </row>
    <row r="6041" ht="14.25" customHeight="1">
      <c r="G6041" s="2"/>
    </row>
    <row r="6042" ht="14.25" customHeight="1">
      <c r="G6042" s="2"/>
    </row>
    <row r="6043" ht="14.25" customHeight="1">
      <c r="G6043" s="2"/>
    </row>
    <row r="6044" ht="14.25" customHeight="1">
      <c r="G6044" s="2"/>
    </row>
    <row r="6045" ht="14.25" customHeight="1">
      <c r="G6045" s="2"/>
    </row>
    <row r="6046" ht="14.25" customHeight="1">
      <c r="G6046" s="2"/>
    </row>
    <row r="6047" ht="14.25" customHeight="1">
      <c r="G6047" s="2"/>
    </row>
    <row r="6048" ht="14.25" customHeight="1">
      <c r="G6048" s="2"/>
    </row>
    <row r="6049" ht="14.25" customHeight="1">
      <c r="G6049" s="2"/>
    </row>
    <row r="6050" ht="14.25" customHeight="1">
      <c r="G6050" s="2"/>
    </row>
    <row r="6051" ht="14.25" customHeight="1">
      <c r="G6051" s="2"/>
    </row>
    <row r="6052" ht="14.25" customHeight="1">
      <c r="G6052" s="2"/>
    </row>
    <row r="6053" ht="14.25" customHeight="1">
      <c r="G6053" s="2"/>
    </row>
    <row r="6054" ht="14.25" customHeight="1">
      <c r="G6054" s="2"/>
    </row>
    <row r="6055" ht="14.25" customHeight="1">
      <c r="G6055" s="2"/>
    </row>
    <row r="6056" ht="14.25" customHeight="1">
      <c r="G6056" s="2"/>
    </row>
    <row r="6057" ht="14.25" customHeight="1">
      <c r="G6057" s="2"/>
    </row>
    <row r="6058" ht="14.25" customHeight="1">
      <c r="G6058" s="2"/>
    </row>
    <row r="6059" ht="14.25" customHeight="1">
      <c r="G6059" s="2"/>
    </row>
    <row r="6060" ht="14.25" customHeight="1">
      <c r="G6060" s="2"/>
    </row>
    <row r="6061" ht="14.25" customHeight="1">
      <c r="G6061" s="2"/>
    </row>
    <row r="6062" ht="14.25" customHeight="1">
      <c r="G6062" s="2"/>
    </row>
    <row r="6063" ht="14.25" customHeight="1">
      <c r="G6063" s="2"/>
    </row>
    <row r="6064" ht="14.25" customHeight="1">
      <c r="G6064" s="2"/>
    </row>
    <row r="6065" ht="14.25" customHeight="1">
      <c r="G6065" s="2"/>
    </row>
    <row r="6066" ht="14.25" customHeight="1">
      <c r="G6066" s="2"/>
    </row>
    <row r="6067" ht="14.25" customHeight="1">
      <c r="G6067" s="2"/>
    </row>
    <row r="6068" ht="14.25" customHeight="1">
      <c r="G6068" s="2"/>
    </row>
    <row r="6069" ht="14.25" customHeight="1">
      <c r="G6069" s="2"/>
    </row>
    <row r="6070" ht="14.25" customHeight="1">
      <c r="G6070" s="2"/>
    </row>
    <row r="6071" ht="14.25" customHeight="1">
      <c r="G6071" s="2"/>
    </row>
    <row r="6072" ht="14.25" customHeight="1">
      <c r="G6072" s="2"/>
    </row>
    <row r="6073" ht="14.25" customHeight="1">
      <c r="G6073" s="2"/>
    </row>
    <row r="6074" ht="14.25" customHeight="1">
      <c r="G6074" s="2"/>
    </row>
    <row r="6075" ht="14.25" customHeight="1">
      <c r="G6075" s="2"/>
    </row>
    <row r="6076" ht="14.25" customHeight="1">
      <c r="G6076" s="2"/>
    </row>
    <row r="6077" ht="14.25" customHeight="1">
      <c r="G6077" s="2"/>
    </row>
    <row r="6078" ht="14.25" customHeight="1">
      <c r="G6078" s="2"/>
    </row>
    <row r="6079" ht="14.25" customHeight="1">
      <c r="G6079" s="2"/>
    </row>
    <row r="6080" ht="14.25" customHeight="1">
      <c r="G6080" s="2"/>
    </row>
    <row r="6081" ht="14.25" customHeight="1">
      <c r="G6081" s="2"/>
    </row>
    <row r="6082" ht="14.25" customHeight="1">
      <c r="G6082" s="2"/>
    </row>
    <row r="6083" ht="14.25" customHeight="1">
      <c r="G6083" s="2"/>
    </row>
    <row r="6084" ht="14.25" customHeight="1">
      <c r="G6084" s="2"/>
    </row>
    <row r="6085" ht="14.25" customHeight="1">
      <c r="G6085" s="2"/>
    </row>
    <row r="6086" ht="14.25" customHeight="1">
      <c r="G6086" s="2"/>
    </row>
    <row r="6087" ht="14.25" customHeight="1">
      <c r="G6087" s="2"/>
    </row>
    <row r="6088" ht="14.25" customHeight="1">
      <c r="G6088" s="2"/>
    </row>
    <row r="6089" ht="14.25" customHeight="1">
      <c r="G6089" s="2"/>
    </row>
    <row r="6090" ht="14.25" customHeight="1">
      <c r="G6090" s="2"/>
    </row>
    <row r="6091" ht="14.25" customHeight="1">
      <c r="G6091" s="2"/>
    </row>
    <row r="6092" ht="14.25" customHeight="1">
      <c r="G6092" s="2"/>
    </row>
    <row r="6093" ht="14.25" customHeight="1">
      <c r="G6093" s="2"/>
    </row>
    <row r="6094" ht="14.25" customHeight="1">
      <c r="G6094" s="2"/>
    </row>
    <row r="6095" ht="14.25" customHeight="1">
      <c r="G6095" s="2"/>
    </row>
    <row r="6096" ht="14.25" customHeight="1">
      <c r="G6096" s="2"/>
    </row>
    <row r="6097" ht="14.25" customHeight="1">
      <c r="G6097" s="2"/>
    </row>
    <row r="6098" ht="14.25" customHeight="1">
      <c r="G6098" s="2"/>
    </row>
    <row r="6099" ht="14.25" customHeight="1">
      <c r="G6099" s="2"/>
    </row>
    <row r="6100" ht="14.25" customHeight="1">
      <c r="G6100" s="2"/>
    </row>
    <row r="6101" ht="14.25" customHeight="1">
      <c r="G6101" s="2"/>
    </row>
    <row r="6102" ht="14.25" customHeight="1">
      <c r="G6102" s="2"/>
    </row>
    <row r="6103" ht="14.25" customHeight="1">
      <c r="G6103" s="2"/>
    </row>
    <row r="6104" ht="14.25" customHeight="1">
      <c r="G6104" s="2"/>
    </row>
    <row r="6105" ht="14.25" customHeight="1">
      <c r="G6105" s="2"/>
    </row>
    <row r="6106" ht="14.25" customHeight="1">
      <c r="G6106" s="2"/>
    </row>
    <row r="6107" ht="14.25" customHeight="1">
      <c r="G6107" s="2"/>
    </row>
    <row r="6108" ht="14.25" customHeight="1">
      <c r="G6108" s="2"/>
    </row>
    <row r="6109" ht="14.25" customHeight="1">
      <c r="G6109" s="2"/>
    </row>
    <row r="6110" ht="14.25" customHeight="1">
      <c r="G6110" s="2"/>
    </row>
    <row r="6111" ht="14.25" customHeight="1">
      <c r="G6111" s="2"/>
    </row>
    <row r="6112" ht="14.25" customHeight="1">
      <c r="G6112" s="2"/>
    </row>
    <row r="6113" ht="14.25" customHeight="1">
      <c r="G6113" s="2"/>
    </row>
    <row r="6114" ht="14.25" customHeight="1">
      <c r="G6114" s="2"/>
    </row>
    <row r="6115" ht="14.25" customHeight="1">
      <c r="G6115" s="2"/>
    </row>
    <row r="6116" ht="14.25" customHeight="1">
      <c r="G6116" s="2"/>
    </row>
    <row r="6117" ht="14.25" customHeight="1">
      <c r="G6117" s="2"/>
    </row>
    <row r="6118" ht="14.25" customHeight="1">
      <c r="G6118" s="2"/>
    </row>
    <row r="6119" ht="14.25" customHeight="1">
      <c r="G6119" s="2"/>
    </row>
    <row r="6120" ht="14.25" customHeight="1">
      <c r="G6120" s="2"/>
    </row>
    <row r="6121" ht="14.25" customHeight="1">
      <c r="G6121" s="2"/>
    </row>
    <row r="6122" ht="14.25" customHeight="1">
      <c r="G6122" s="2"/>
    </row>
    <row r="6123" ht="14.25" customHeight="1">
      <c r="G6123" s="2"/>
    </row>
    <row r="6124" ht="14.25" customHeight="1">
      <c r="G6124" s="2"/>
    </row>
    <row r="6125" ht="14.25" customHeight="1">
      <c r="G6125" s="2"/>
    </row>
    <row r="6126" ht="14.25" customHeight="1">
      <c r="G6126" s="2"/>
    </row>
    <row r="6127" ht="14.25" customHeight="1">
      <c r="G6127" s="2"/>
    </row>
    <row r="6128" ht="14.25" customHeight="1">
      <c r="G6128" s="2"/>
    </row>
    <row r="6129" ht="14.25" customHeight="1">
      <c r="G6129" s="2"/>
    </row>
    <row r="6130" ht="14.25" customHeight="1">
      <c r="G6130" s="2"/>
    </row>
    <row r="6131" ht="14.25" customHeight="1">
      <c r="G6131" s="2"/>
    </row>
    <row r="6132" ht="14.25" customHeight="1">
      <c r="G6132" s="2"/>
    </row>
    <row r="6133" ht="14.25" customHeight="1">
      <c r="G6133" s="2"/>
    </row>
    <row r="6134" ht="14.25" customHeight="1">
      <c r="G6134" s="2"/>
    </row>
    <row r="6135" ht="14.25" customHeight="1">
      <c r="G6135" s="2"/>
    </row>
    <row r="6136" ht="14.25" customHeight="1">
      <c r="G6136" s="2"/>
    </row>
    <row r="6137" ht="14.25" customHeight="1">
      <c r="G6137" s="2"/>
    </row>
    <row r="6138" ht="14.25" customHeight="1">
      <c r="G6138" s="2"/>
    </row>
    <row r="6139" ht="14.25" customHeight="1">
      <c r="G6139" s="2"/>
    </row>
    <row r="6140" ht="14.25" customHeight="1">
      <c r="G6140" s="2"/>
    </row>
    <row r="6141" ht="14.25" customHeight="1">
      <c r="G6141" s="2"/>
    </row>
    <row r="6142" ht="14.25" customHeight="1">
      <c r="G6142" s="2"/>
    </row>
    <row r="6143" ht="14.25" customHeight="1">
      <c r="G6143" s="2"/>
    </row>
    <row r="6144" ht="14.25" customHeight="1">
      <c r="G6144" s="2"/>
    </row>
    <row r="6145" ht="14.25" customHeight="1">
      <c r="G6145" s="2"/>
    </row>
    <row r="6146" ht="14.25" customHeight="1">
      <c r="G6146" s="2"/>
    </row>
    <row r="6147" ht="14.25" customHeight="1">
      <c r="G6147" s="2"/>
    </row>
    <row r="6148" ht="14.25" customHeight="1">
      <c r="G6148" s="2"/>
    </row>
    <row r="6149" ht="14.25" customHeight="1">
      <c r="G6149" s="2"/>
    </row>
    <row r="6150" ht="14.25" customHeight="1">
      <c r="G6150" s="2"/>
    </row>
    <row r="6151" ht="14.25" customHeight="1">
      <c r="G6151" s="2"/>
    </row>
    <row r="6152" ht="14.25" customHeight="1">
      <c r="G6152" s="2"/>
    </row>
    <row r="6153" ht="14.25" customHeight="1">
      <c r="G6153" s="2"/>
    </row>
    <row r="6154" ht="14.25" customHeight="1">
      <c r="G6154" s="2"/>
    </row>
    <row r="6155" ht="14.25" customHeight="1">
      <c r="G6155" s="2"/>
    </row>
    <row r="6156" ht="14.25" customHeight="1">
      <c r="G6156" s="2"/>
    </row>
    <row r="6157" ht="14.25" customHeight="1">
      <c r="G6157" s="2"/>
    </row>
    <row r="6158" ht="14.25" customHeight="1">
      <c r="G6158" s="2"/>
    </row>
    <row r="6159" ht="14.25" customHeight="1">
      <c r="G6159" s="2"/>
    </row>
    <row r="6160" ht="14.25" customHeight="1">
      <c r="G6160" s="2"/>
    </row>
    <row r="6161" ht="14.25" customHeight="1">
      <c r="G6161" s="2"/>
    </row>
    <row r="6162" ht="14.25" customHeight="1">
      <c r="G6162" s="2"/>
    </row>
    <row r="6163" ht="14.25" customHeight="1">
      <c r="G6163" s="2"/>
    </row>
    <row r="6164" ht="14.25" customHeight="1">
      <c r="G6164" s="2"/>
    </row>
    <row r="6165" ht="14.25" customHeight="1">
      <c r="G6165" s="2"/>
    </row>
    <row r="6166" ht="14.25" customHeight="1">
      <c r="G6166" s="2"/>
    </row>
    <row r="6167" ht="14.25" customHeight="1">
      <c r="G6167" s="2"/>
    </row>
    <row r="6168" ht="14.25" customHeight="1">
      <c r="G6168" s="2"/>
    </row>
    <row r="6169" ht="14.25" customHeight="1">
      <c r="G6169" s="2"/>
    </row>
    <row r="6170" ht="14.25" customHeight="1">
      <c r="G6170" s="2"/>
    </row>
    <row r="6171" ht="14.25" customHeight="1">
      <c r="G6171" s="2"/>
    </row>
    <row r="6172" ht="14.25" customHeight="1">
      <c r="G6172" s="2"/>
    </row>
    <row r="6173" ht="14.25" customHeight="1">
      <c r="G6173" s="2"/>
    </row>
    <row r="6174" ht="14.25" customHeight="1">
      <c r="G6174" s="2"/>
    </row>
    <row r="6175" ht="14.25" customHeight="1">
      <c r="G6175" s="2"/>
    </row>
    <row r="6176" ht="14.25" customHeight="1">
      <c r="G6176" s="2"/>
    </row>
    <row r="6177" ht="14.25" customHeight="1">
      <c r="G6177" s="2"/>
    </row>
    <row r="6178" ht="14.25" customHeight="1">
      <c r="G6178" s="2"/>
    </row>
    <row r="6179" ht="14.25" customHeight="1">
      <c r="G6179" s="2"/>
    </row>
    <row r="6180" ht="14.25" customHeight="1">
      <c r="G6180" s="2"/>
    </row>
    <row r="6181" ht="14.25" customHeight="1">
      <c r="G6181" s="2"/>
    </row>
    <row r="6182" ht="14.25" customHeight="1">
      <c r="G6182" s="2"/>
    </row>
    <row r="6183" ht="14.25" customHeight="1">
      <c r="G6183" s="2"/>
    </row>
    <row r="6184" ht="14.25" customHeight="1">
      <c r="G6184" s="2"/>
    </row>
    <row r="6185" ht="14.25" customHeight="1">
      <c r="G6185" s="2"/>
    </row>
    <row r="6186" ht="14.25" customHeight="1">
      <c r="G6186" s="2"/>
    </row>
    <row r="6187" ht="14.25" customHeight="1">
      <c r="G6187" s="2"/>
    </row>
    <row r="6188" ht="14.25" customHeight="1">
      <c r="G6188" s="2"/>
    </row>
    <row r="6189" ht="14.25" customHeight="1">
      <c r="G6189" s="2"/>
    </row>
    <row r="6190" ht="14.25" customHeight="1">
      <c r="G6190" s="2"/>
    </row>
    <row r="6191" ht="14.25" customHeight="1">
      <c r="G6191" s="2"/>
    </row>
    <row r="6192" ht="14.25" customHeight="1">
      <c r="G6192" s="2"/>
    </row>
    <row r="6193" ht="14.25" customHeight="1">
      <c r="G6193" s="2"/>
    </row>
    <row r="6194" ht="14.25" customHeight="1">
      <c r="G6194" s="2"/>
    </row>
    <row r="6195" ht="14.25" customHeight="1">
      <c r="G6195" s="2"/>
    </row>
    <row r="6196" ht="14.25" customHeight="1">
      <c r="G6196" s="2"/>
    </row>
    <row r="6197" ht="14.25" customHeight="1">
      <c r="G6197" s="2"/>
    </row>
    <row r="6198" ht="14.25" customHeight="1">
      <c r="G6198" s="2"/>
    </row>
    <row r="6199" ht="14.25" customHeight="1">
      <c r="G6199" s="2"/>
    </row>
    <row r="6200" ht="14.25" customHeight="1">
      <c r="G6200" s="2"/>
    </row>
    <row r="6201" ht="14.25" customHeight="1">
      <c r="G6201" s="2"/>
    </row>
    <row r="6202" ht="14.25" customHeight="1">
      <c r="G6202" s="2"/>
    </row>
    <row r="6203" ht="14.25" customHeight="1">
      <c r="G6203" s="2"/>
    </row>
    <row r="6204" ht="14.25" customHeight="1">
      <c r="G6204" s="2"/>
    </row>
    <row r="6205" ht="14.25" customHeight="1">
      <c r="G6205" s="2"/>
    </row>
    <row r="6206" ht="14.25" customHeight="1">
      <c r="G6206" s="2"/>
    </row>
    <row r="6207" ht="14.25" customHeight="1">
      <c r="G6207" s="2"/>
    </row>
    <row r="6208" ht="14.25" customHeight="1">
      <c r="G6208" s="2"/>
    </row>
    <row r="6209" ht="14.25" customHeight="1">
      <c r="G6209" s="2"/>
    </row>
    <row r="6210" ht="14.25" customHeight="1">
      <c r="G6210" s="2"/>
    </row>
    <row r="6211" ht="14.25" customHeight="1">
      <c r="G6211" s="2"/>
    </row>
    <row r="6212" ht="14.25" customHeight="1">
      <c r="G6212" s="2"/>
    </row>
    <row r="6213" ht="14.25" customHeight="1">
      <c r="G6213" s="2"/>
    </row>
    <row r="6214" ht="14.25" customHeight="1">
      <c r="G6214" s="2"/>
    </row>
    <row r="6215" ht="14.25" customHeight="1">
      <c r="G6215" s="2"/>
    </row>
    <row r="6216" ht="14.25" customHeight="1">
      <c r="G6216" s="2"/>
    </row>
    <row r="6217" ht="14.25" customHeight="1">
      <c r="G6217" s="2"/>
    </row>
    <row r="6218" ht="14.25" customHeight="1">
      <c r="G6218" s="2"/>
    </row>
    <row r="6219" ht="14.25" customHeight="1">
      <c r="G6219" s="2"/>
    </row>
    <row r="6220" ht="14.25" customHeight="1">
      <c r="G6220" s="2"/>
    </row>
    <row r="6221" ht="14.25" customHeight="1">
      <c r="G6221" s="2"/>
    </row>
    <row r="6222" ht="14.25" customHeight="1">
      <c r="G6222" s="2"/>
    </row>
    <row r="6223" ht="14.25" customHeight="1">
      <c r="G6223" s="2"/>
    </row>
    <row r="6224" ht="14.25" customHeight="1">
      <c r="G6224" s="2"/>
    </row>
    <row r="6225" ht="14.25" customHeight="1">
      <c r="G6225" s="2"/>
    </row>
    <row r="6226" ht="14.25" customHeight="1">
      <c r="G6226" s="2"/>
    </row>
    <row r="6227" ht="14.25" customHeight="1">
      <c r="G6227" s="2"/>
    </row>
    <row r="6228" ht="14.25" customHeight="1">
      <c r="G6228" s="2"/>
    </row>
    <row r="6229" ht="14.25" customHeight="1">
      <c r="G6229" s="2"/>
    </row>
    <row r="6230" ht="14.25" customHeight="1">
      <c r="G6230" s="2"/>
    </row>
    <row r="6231" ht="14.25" customHeight="1">
      <c r="G6231" s="2"/>
    </row>
    <row r="6232" ht="14.25" customHeight="1">
      <c r="G6232" s="2"/>
    </row>
    <row r="6233" ht="14.25" customHeight="1">
      <c r="G6233" s="2"/>
    </row>
    <row r="6234" ht="14.25" customHeight="1">
      <c r="G6234" s="2"/>
    </row>
    <row r="6235" ht="14.25" customHeight="1">
      <c r="G6235" s="2"/>
    </row>
    <row r="6236" ht="14.25" customHeight="1">
      <c r="G6236" s="2"/>
    </row>
    <row r="6237" ht="14.25" customHeight="1">
      <c r="G6237" s="2"/>
    </row>
    <row r="6238" ht="14.25" customHeight="1">
      <c r="G6238" s="2"/>
    </row>
    <row r="6239" ht="14.25" customHeight="1">
      <c r="G6239" s="2"/>
    </row>
    <row r="6240" ht="14.25" customHeight="1">
      <c r="G6240" s="2"/>
    </row>
    <row r="6241" ht="14.25" customHeight="1">
      <c r="G6241" s="2"/>
    </row>
    <row r="6242" ht="14.25" customHeight="1">
      <c r="G6242" s="2"/>
    </row>
    <row r="6243" ht="14.25" customHeight="1">
      <c r="G6243" s="2"/>
    </row>
    <row r="6244" ht="14.25" customHeight="1">
      <c r="G6244" s="2"/>
    </row>
    <row r="6245" ht="14.25" customHeight="1">
      <c r="G6245" s="2"/>
    </row>
    <row r="6246" ht="14.25" customHeight="1">
      <c r="G6246" s="2"/>
    </row>
    <row r="6247" ht="14.25" customHeight="1">
      <c r="G6247" s="2"/>
    </row>
    <row r="6248" ht="14.25" customHeight="1">
      <c r="G6248" s="2"/>
    </row>
    <row r="6249" ht="14.25" customHeight="1">
      <c r="G6249" s="2"/>
    </row>
    <row r="6250" ht="14.25" customHeight="1">
      <c r="G6250" s="2"/>
    </row>
    <row r="6251" ht="14.25" customHeight="1">
      <c r="G6251" s="2"/>
    </row>
    <row r="6252" ht="14.25" customHeight="1">
      <c r="G6252" s="2"/>
    </row>
    <row r="6253" ht="14.25" customHeight="1">
      <c r="G6253" s="2"/>
    </row>
    <row r="6254" ht="14.25" customHeight="1">
      <c r="G6254" s="2"/>
    </row>
    <row r="6255" ht="14.25" customHeight="1">
      <c r="G6255" s="2"/>
    </row>
    <row r="6256" ht="14.25" customHeight="1">
      <c r="G6256" s="2"/>
    </row>
    <row r="6257" ht="14.25" customHeight="1">
      <c r="G6257" s="2"/>
    </row>
    <row r="6258" ht="14.25" customHeight="1">
      <c r="G6258" s="2"/>
    </row>
    <row r="6259" ht="14.25" customHeight="1">
      <c r="G6259" s="2"/>
    </row>
    <row r="6260" ht="14.25" customHeight="1">
      <c r="G6260" s="2"/>
    </row>
    <row r="6261" ht="14.25" customHeight="1">
      <c r="G6261" s="2"/>
    </row>
    <row r="6262" ht="14.25" customHeight="1">
      <c r="G6262" s="2"/>
    </row>
    <row r="6263" ht="14.25" customHeight="1">
      <c r="G6263" s="2"/>
    </row>
    <row r="6264" ht="14.25" customHeight="1">
      <c r="G6264" s="2"/>
    </row>
    <row r="6265" ht="14.25" customHeight="1">
      <c r="G6265" s="2"/>
    </row>
    <row r="6266" ht="14.25" customHeight="1">
      <c r="G6266" s="2"/>
    </row>
    <row r="6267" ht="14.25" customHeight="1">
      <c r="G6267" s="2"/>
    </row>
    <row r="6268" ht="14.25" customHeight="1">
      <c r="G6268" s="2"/>
    </row>
    <row r="6269" ht="14.25" customHeight="1">
      <c r="G6269" s="2"/>
    </row>
    <row r="6270" ht="14.25" customHeight="1">
      <c r="G6270" s="2"/>
    </row>
    <row r="6271" ht="14.25" customHeight="1">
      <c r="G6271" s="2"/>
    </row>
    <row r="6272" ht="14.25" customHeight="1">
      <c r="G6272" s="2"/>
    </row>
    <row r="6273" ht="14.25" customHeight="1">
      <c r="G6273" s="2"/>
    </row>
    <row r="6274" ht="14.25" customHeight="1">
      <c r="G6274" s="2"/>
    </row>
    <row r="6275" ht="14.25" customHeight="1">
      <c r="G6275" s="2"/>
    </row>
    <row r="6276" ht="14.25" customHeight="1">
      <c r="G6276" s="2"/>
    </row>
    <row r="6277" ht="14.25" customHeight="1">
      <c r="G6277" s="2"/>
    </row>
    <row r="6278" ht="14.25" customHeight="1">
      <c r="G6278" s="2"/>
    </row>
    <row r="6279" ht="14.25" customHeight="1">
      <c r="G6279" s="2"/>
    </row>
    <row r="6280" ht="14.25" customHeight="1">
      <c r="G6280" s="2"/>
    </row>
    <row r="6281" ht="14.25" customHeight="1">
      <c r="G6281" s="2"/>
    </row>
    <row r="6282" ht="14.25" customHeight="1">
      <c r="G6282" s="2"/>
    </row>
    <row r="6283" ht="14.25" customHeight="1">
      <c r="G6283" s="2"/>
    </row>
    <row r="6284" ht="14.25" customHeight="1">
      <c r="G6284" s="2"/>
    </row>
    <row r="6285" ht="14.25" customHeight="1">
      <c r="G6285" s="2"/>
    </row>
    <row r="6286" ht="14.25" customHeight="1">
      <c r="G6286" s="2"/>
    </row>
    <row r="6287" ht="14.25" customHeight="1">
      <c r="G6287" s="2"/>
    </row>
    <row r="6288" ht="14.25" customHeight="1">
      <c r="G6288" s="2"/>
    </row>
    <row r="6289" ht="14.25" customHeight="1">
      <c r="G6289" s="2"/>
    </row>
    <row r="6290" ht="14.25" customHeight="1">
      <c r="G6290" s="2"/>
    </row>
    <row r="6291" ht="14.25" customHeight="1">
      <c r="G6291" s="2"/>
    </row>
    <row r="6292" ht="14.25" customHeight="1">
      <c r="G6292" s="2"/>
    </row>
    <row r="6293" ht="14.25" customHeight="1">
      <c r="G6293" s="2"/>
    </row>
    <row r="6294" ht="14.25" customHeight="1">
      <c r="G6294" s="2"/>
    </row>
    <row r="6295" ht="14.25" customHeight="1">
      <c r="G6295" s="2"/>
    </row>
    <row r="6296" ht="14.25" customHeight="1">
      <c r="G6296" s="2"/>
    </row>
    <row r="6297" ht="14.25" customHeight="1">
      <c r="G6297" s="2"/>
    </row>
    <row r="6298" ht="14.25" customHeight="1">
      <c r="G6298" s="2"/>
    </row>
    <row r="6299" ht="14.25" customHeight="1">
      <c r="G6299" s="2"/>
    </row>
    <row r="6300" ht="14.25" customHeight="1">
      <c r="G6300" s="2"/>
    </row>
    <row r="6301" ht="14.25" customHeight="1">
      <c r="G6301" s="2"/>
    </row>
    <row r="6302" ht="14.25" customHeight="1">
      <c r="G6302" s="2"/>
    </row>
    <row r="6303" ht="14.25" customHeight="1">
      <c r="G6303" s="2"/>
    </row>
    <row r="6304" ht="14.25" customHeight="1">
      <c r="G6304" s="2"/>
    </row>
    <row r="6305" ht="14.25" customHeight="1">
      <c r="G6305" s="2"/>
    </row>
    <row r="6306" ht="14.25" customHeight="1">
      <c r="G6306" s="2"/>
    </row>
    <row r="6307" ht="14.25" customHeight="1">
      <c r="G6307" s="2"/>
    </row>
    <row r="6308" ht="14.25" customHeight="1">
      <c r="G6308" s="2"/>
    </row>
    <row r="6309" ht="14.25" customHeight="1">
      <c r="G6309" s="2"/>
    </row>
    <row r="6310" ht="14.25" customHeight="1">
      <c r="G6310" s="2"/>
    </row>
    <row r="6311" ht="14.25" customHeight="1">
      <c r="G6311" s="2"/>
    </row>
    <row r="6312" ht="14.25" customHeight="1">
      <c r="G6312" s="2"/>
    </row>
    <row r="6313" ht="14.25" customHeight="1">
      <c r="G6313" s="2"/>
    </row>
    <row r="6314" ht="14.25" customHeight="1">
      <c r="G6314" s="2"/>
    </row>
    <row r="6315" ht="14.25" customHeight="1">
      <c r="G6315" s="2"/>
    </row>
    <row r="6316" ht="14.25" customHeight="1">
      <c r="G6316" s="2"/>
    </row>
    <row r="6317" ht="14.25" customHeight="1">
      <c r="G6317" s="2"/>
    </row>
    <row r="6318" ht="14.25" customHeight="1">
      <c r="G6318" s="2"/>
    </row>
    <row r="6319" ht="14.25" customHeight="1">
      <c r="G6319" s="2"/>
    </row>
    <row r="6320" ht="14.25" customHeight="1">
      <c r="G6320" s="2"/>
    </row>
    <row r="6321" ht="14.25" customHeight="1">
      <c r="G6321" s="2"/>
    </row>
    <row r="6322" ht="14.25" customHeight="1">
      <c r="G6322" s="2"/>
    </row>
    <row r="6323" ht="14.25" customHeight="1">
      <c r="G6323" s="2"/>
    </row>
    <row r="6324" ht="14.25" customHeight="1">
      <c r="G6324" s="2"/>
    </row>
    <row r="6325" ht="14.25" customHeight="1">
      <c r="G6325" s="2"/>
    </row>
    <row r="6326" ht="14.25" customHeight="1">
      <c r="G6326" s="2"/>
    </row>
    <row r="6327" ht="14.25" customHeight="1">
      <c r="G6327" s="2"/>
    </row>
    <row r="6328" ht="14.25" customHeight="1">
      <c r="G6328" s="2"/>
    </row>
    <row r="6329" ht="14.25" customHeight="1">
      <c r="G6329" s="2"/>
    </row>
    <row r="6330" ht="14.25" customHeight="1">
      <c r="G6330" s="2"/>
    </row>
    <row r="6331" ht="14.25" customHeight="1">
      <c r="G6331" s="2"/>
    </row>
    <row r="6332" ht="14.25" customHeight="1">
      <c r="G6332" s="2"/>
    </row>
    <row r="6333" ht="14.25" customHeight="1">
      <c r="G6333" s="2"/>
    </row>
    <row r="6334" ht="14.25" customHeight="1">
      <c r="G6334" s="2"/>
    </row>
    <row r="6335" ht="14.25" customHeight="1">
      <c r="G6335" s="2"/>
    </row>
    <row r="6336" ht="14.25" customHeight="1">
      <c r="G6336" s="2"/>
    </row>
    <row r="6337" ht="14.25" customHeight="1">
      <c r="G6337" s="2"/>
    </row>
    <row r="6338" ht="14.25" customHeight="1">
      <c r="G6338" s="2"/>
    </row>
    <row r="6339" ht="14.25" customHeight="1">
      <c r="G6339" s="2"/>
    </row>
    <row r="6340" ht="14.25" customHeight="1">
      <c r="G6340" s="2"/>
    </row>
    <row r="6341" ht="14.25" customHeight="1">
      <c r="G6341" s="2"/>
    </row>
    <row r="6342" ht="14.25" customHeight="1">
      <c r="G6342" s="2"/>
    </row>
    <row r="6343" ht="14.25" customHeight="1">
      <c r="G6343" s="2"/>
    </row>
    <row r="6344" ht="14.25" customHeight="1">
      <c r="G6344" s="2"/>
    </row>
    <row r="6345" ht="14.25" customHeight="1">
      <c r="G6345" s="2"/>
    </row>
    <row r="6346" ht="14.25" customHeight="1">
      <c r="G6346" s="2"/>
    </row>
    <row r="6347" ht="14.25" customHeight="1">
      <c r="G6347" s="2"/>
    </row>
    <row r="6348" ht="14.25" customHeight="1">
      <c r="G6348" s="2"/>
    </row>
    <row r="6349" ht="14.25" customHeight="1">
      <c r="G6349" s="2"/>
    </row>
    <row r="6350" ht="14.25" customHeight="1">
      <c r="G6350" s="2"/>
    </row>
    <row r="6351" ht="14.25" customHeight="1">
      <c r="G6351" s="2"/>
    </row>
    <row r="6352" ht="14.25" customHeight="1">
      <c r="G6352" s="2"/>
    </row>
    <row r="6353" ht="14.25" customHeight="1">
      <c r="G6353" s="2"/>
    </row>
    <row r="6354" ht="14.25" customHeight="1">
      <c r="G6354" s="2"/>
    </row>
    <row r="6355" ht="14.25" customHeight="1">
      <c r="G6355" s="2"/>
    </row>
    <row r="6356" ht="14.25" customHeight="1">
      <c r="G6356" s="2"/>
    </row>
    <row r="6357" ht="14.25" customHeight="1">
      <c r="G6357" s="2"/>
    </row>
    <row r="6358" ht="14.25" customHeight="1">
      <c r="G6358" s="2"/>
    </row>
    <row r="6359" ht="14.25" customHeight="1">
      <c r="G6359" s="2"/>
    </row>
    <row r="6360" ht="14.25" customHeight="1">
      <c r="G6360" s="2"/>
    </row>
    <row r="6361" ht="14.25" customHeight="1">
      <c r="G6361" s="2"/>
    </row>
    <row r="6362" ht="14.25" customHeight="1">
      <c r="G6362" s="2"/>
    </row>
    <row r="6363" ht="14.25" customHeight="1">
      <c r="G6363" s="2"/>
    </row>
    <row r="6364" ht="14.25" customHeight="1">
      <c r="G6364" s="2"/>
    </row>
    <row r="6365" ht="14.25" customHeight="1">
      <c r="G6365" s="2"/>
    </row>
    <row r="6366" ht="14.25" customHeight="1">
      <c r="G6366" s="2"/>
    </row>
    <row r="6367" ht="14.25" customHeight="1">
      <c r="G6367" s="2"/>
    </row>
    <row r="6368" ht="14.25" customHeight="1">
      <c r="G6368" s="2"/>
    </row>
    <row r="6369" ht="14.25" customHeight="1">
      <c r="G6369" s="2"/>
    </row>
    <row r="6370" ht="14.25" customHeight="1">
      <c r="G6370" s="2"/>
    </row>
    <row r="6371" ht="14.25" customHeight="1">
      <c r="G6371" s="2"/>
    </row>
    <row r="6372" ht="14.25" customHeight="1">
      <c r="G6372" s="2"/>
    </row>
    <row r="6373" ht="14.25" customHeight="1">
      <c r="G6373" s="2"/>
    </row>
    <row r="6374" ht="14.25" customHeight="1">
      <c r="G6374" s="2"/>
    </row>
    <row r="6375" ht="14.25" customHeight="1">
      <c r="G6375" s="2"/>
    </row>
    <row r="6376" ht="14.25" customHeight="1">
      <c r="G6376" s="2"/>
    </row>
    <row r="6377" ht="14.25" customHeight="1">
      <c r="G6377" s="2"/>
    </row>
    <row r="6378" ht="14.25" customHeight="1">
      <c r="G6378" s="2"/>
    </row>
    <row r="6379" ht="14.25" customHeight="1">
      <c r="G6379" s="2"/>
    </row>
    <row r="6380" ht="14.25" customHeight="1">
      <c r="G6380" s="2"/>
    </row>
    <row r="6381" ht="14.25" customHeight="1">
      <c r="G6381" s="2"/>
    </row>
    <row r="6382" ht="14.25" customHeight="1">
      <c r="G6382" s="2"/>
    </row>
    <row r="6383" ht="14.25" customHeight="1">
      <c r="G6383" s="2"/>
    </row>
    <row r="6384" ht="14.25" customHeight="1">
      <c r="G6384" s="2"/>
    </row>
    <row r="6385" ht="14.25" customHeight="1">
      <c r="G6385" s="2"/>
    </row>
    <row r="6386" ht="14.25" customHeight="1">
      <c r="G6386" s="2"/>
    </row>
    <row r="6387" ht="14.25" customHeight="1">
      <c r="G6387" s="2"/>
    </row>
    <row r="6388" ht="14.25" customHeight="1">
      <c r="G6388" s="2"/>
    </row>
    <row r="6389" ht="14.25" customHeight="1">
      <c r="G6389" s="2"/>
    </row>
    <row r="6390" ht="14.25" customHeight="1">
      <c r="G6390" s="2"/>
    </row>
    <row r="6391" ht="14.25" customHeight="1">
      <c r="G6391" s="2"/>
    </row>
    <row r="6392" ht="14.25" customHeight="1">
      <c r="G6392" s="2"/>
    </row>
    <row r="6393" ht="14.25" customHeight="1">
      <c r="G6393" s="2"/>
    </row>
    <row r="6394" ht="14.25" customHeight="1">
      <c r="G6394" s="2"/>
    </row>
    <row r="6395" ht="14.25" customHeight="1">
      <c r="G6395" s="2"/>
    </row>
    <row r="6396" ht="14.25" customHeight="1">
      <c r="G6396" s="2"/>
    </row>
    <row r="6397" ht="14.25" customHeight="1">
      <c r="G6397" s="2"/>
    </row>
    <row r="6398" ht="14.25" customHeight="1">
      <c r="G6398" s="2"/>
    </row>
    <row r="6399" ht="14.25" customHeight="1">
      <c r="G6399" s="2"/>
    </row>
    <row r="6400" ht="14.25" customHeight="1">
      <c r="G6400" s="2"/>
    </row>
    <row r="6401" ht="14.25" customHeight="1">
      <c r="G6401" s="2"/>
    </row>
    <row r="6402" ht="14.25" customHeight="1">
      <c r="G6402" s="2"/>
    </row>
    <row r="6403" ht="14.25" customHeight="1">
      <c r="G6403" s="2"/>
    </row>
    <row r="6404" ht="14.25" customHeight="1">
      <c r="G6404" s="2"/>
    </row>
    <row r="6405" ht="14.25" customHeight="1">
      <c r="G6405" s="2"/>
    </row>
    <row r="6406" ht="14.25" customHeight="1">
      <c r="G6406" s="2"/>
    </row>
    <row r="6407" ht="14.25" customHeight="1">
      <c r="G6407" s="2"/>
    </row>
    <row r="6408" ht="14.25" customHeight="1">
      <c r="G6408" s="2"/>
    </row>
    <row r="6409" ht="14.25" customHeight="1">
      <c r="G6409" s="2"/>
    </row>
    <row r="6410" ht="14.25" customHeight="1">
      <c r="G6410" s="2"/>
    </row>
    <row r="6411" ht="14.25" customHeight="1">
      <c r="G6411" s="2"/>
    </row>
    <row r="6412" ht="14.25" customHeight="1">
      <c r="G6412" s="2"/>
    </row>
    <row r="6413" ht="14.25" customHeight="1">
      <c r="G6413" s="2"/>
    </row>
    <row r="6414" ht="14.25" customHeight="1">
      <c r="G6414" s="2"/>
    </row>
    <row r="6415" ht="14.25" customHeight="1">
      <c r="G6415" s="2"/>
    </row>
    <row r="6416" ht="14.25" customHeight="1">
      <c r="G6416" s="2"/>
    </row>
    <row r="6417" ht="14.25" customHeight="1">
      <c r="G6417" s="2"/>
    </row>
    <row r="6418" ht="14.25" customHeight="1">
      <c r="G6418" s="2"/>
    </row>
    <row r="6419" ht="14.25" customHeight="1">
      <c r="G6419" s="2"/>
    </row>
    <row r="6420" ht="14.25" customHeight="1">
      <c r="G6420" s="2"/>
    </row>
    <row r="6421" ht="14.25" customHeight="1">
      <c r="G6421" s="2"/>
    </row>
    <row r="6422" ht="14.25" customHeight="1">
      <c r="G6422" s="2"/>
    </row>
    <row r="6423" ht="14.25" customHeight="1">
      <c r="G6423" s="2"/>
    </row>
    <row r="6424" ht="14.25" customHeight="1">
      <c r="G6424" s="2"/>
    </row>
    <row r="6425" ht="14.25" customHeight="1">
      <c r="G6425" s="2"/>
    </row>
    <row r="6426" ht="14.25" customHeight="1">
      <c r="G6426" s="2"/>
    </row>
    <row r="6427" ht="14.25" customHeight="1">
      <c r="G6427" s="2"/>
    </row>
    <row r="6428" ht="14.25" customHeight="1">
      <c r="G6428" s="2"/>
    </row>
    <row r="6429" ht="14.25" customHeight="1">
      <c r="G6429" s="2"/>
    </row>
    <row r="6430" ht="14.25" customHeight="1">
      <c r="G6430" s="2"/>
    </row>
    <row r="6431" ht="14.25" customHeight="1">
      <c r="G6431" s="2"/>
    </row>
    <row r="6432" ht="14.25" customHeight="1">
      <c r="G6432" s="2"/>
    </row>
    <row r="6433" ht="14.25" customHeight="1">
      <c r="G6433" s="2"/>
    </row>
    <row r="6434" ht="14.25" customHeight="1">
      <c r="G6434" s="2"/>
    </row>
    <row r="6435" ht="14.25" customHeight="1">
      <c r="G6435" s="2"/>
    </row>
    <row r="6436" ht="14.25" customHeight="1">
      <c r="G6436" s="2"/>
    </row>
    <row r="6437" ht="14.25" customHeight="1">
      <c r="G6437" s="2"/>
    </row>
    <row r="6438" ht="14.25" customHeight="1">
      <c r="G6438" s="2"/>
    </row>
    <row r="6439" ht="14.25" customHeight="1">
      <c r="G6439" s="2"/>
    </row>
    <row r="6440" ht="14.25" customHeight="1">
      <c r="G6440" s="2"/>
    </row>
    <row r="6441" ht="14.25" customHeight="1">
      <c r="G6441" s="2"/>
    </row>
    <row r="6442" ht="14.25" customHeight="1">
      <c r="G6442" s="2"/>
    </row>
    <row r="6443" ht="14.25" customHeight="1">
      <c r="G6443" s="2"/>
    </row>
    <row r="6444" ht="14.25" customHeight="1">
      <c r="G6444" s="2"/>
    </row>
    <row r="6445" ht="14.25" customHeight="1">
      <c r="G6445" s="2"/>
    </row>
    <row r="6446" ht="14.25" customHeight="1">
      <c r="G6446" s="2"/>
    </row>
    <row r="6447" ht="14.25" customHeight="1">
      <c r="G6447" s="2"/>
    </row>
    <row r="6448" ht="14.25" customHeight="1">
      <c r="G6448" s="2"/>
    </row>
    <row r="6449" ht="14.25" customHeight="1">
      <c r="G6449" s="2"/>
    </row>
    <row r="6450" ht="14.25" customHeight="1">
      <c r="G6450" s="2"/>
    </row>
    <row r="6451" ht="14.25" customHeight="1">
      <c r="G6451" s="2"/>
    </row>
    <row r="6452" ht="14.25" customHeight="1">
      <c r="G6452" s="2"/>
    </row>
    <row r="6453" ht="14.25" customHeight="1">
      <c r="G6453" s="2"/>
    </row>
    <row r="6454" ht="14.25" customHeight="1">
      <c r="G6454" s="2"/>
    </row>
    <row r="6455" ht="14.25" customHeight="1">
      <c r="G6455" s="2"/>
    </row>
    <row r="6456" ht="14.25" customHeight="1">
      <c r="G6456" s="2"/>
    </row>
    <row r="6457" ht="14.25" customHeight="1">
      <c r="G6457" s="2"/>
    </row>
    <row r="6458" ht="14.25" customHeight="1">
      <c r="G6458" s="2"/>
    </row>
    <row r="6459" ht="14.25" customHeight="1">
      <c r="G6459" s="2"/>
    </row>
    <row r="6460" ht="14.25" customHeight="1">
      <c r="G6460" s="2"/>
    </row>
    <row r="6461" ht="14.25" customHeight="1">
      <c r="G6461" s="2"/>
    </row>
    <row r="6462" ht="14.25" customHeight="1">
      <c r="G6462" s="2"/>
    </row>
    <row r="6463" ht="14.25" customHeight="1">
      <c r="G6463" s="2"/>
    </row>
    <row r="6464" ht="14.25" customHeight="1">
      <c r="G6464" s="2"/>
    </row>
    <row r="6465" ht="14.25" customHeight="1">
      <c r="G6465" s="2"/>
    </row>
    <row r="6466" ht="14.25" customHeight="1">
      <c r="G6466" s="2"/>
    </row>
    <row r="6467" ht="14.25" customHeight="1">
      <c r="G6467" s="2"/>
    </row>
    <row r="6468" ht="14.25" customHeight="1">
      <c r="G6468" s="2"/>
    </row>
    <row r="6469" ht="14.25" customHeight="1">
      <c r="G6469" s="2"/>
    </row>
    <row r="6470" ht="14.25" customHeight="1">
      <c r="G6470" s="2"/>
    </row>
    <row r="6471" ht="14.25" customHeight="1">
      <c r="G6471" s="2"/>
    </row>
    <row r="6472" ht="14.25" customHeight="1">
      <c r="G6472" s="2"/>
    </row>
    <row r="6473" ht="14.25" customHeight="1">
      <c r="G6473" s="2"/>
    </row>
    <row r="6474" ht="14.25" customHeight="1">
      <c r="G6474" s="2"/>
    </row>
    <row r="6475" ht="14.25" customHeight="1">
      <c r="G6475" s="2"/>
    </row>
    <row r="6476" ht="14.25" customHeight="1">
      <c r="G6476" s="2"/>
    </row>
    <row r="6477" ht="14.25" customHeight="1">
      <c r="G6477" s="2"/>
    </row>
    <row r="6478" ht="14.25" customHeight="1">
      <c r="G6478" s="2"/>
    </row>
    <row r="6479" ht="14.25" customHeight="1">
      <c r="G6479" s="2"/>
    </row>
    <row r="6480" ht="14.25" customHeight="1">
      <c r="G6480" s="2"/>
    </row>
    <row r="6481" ht="14.25" customHeight="1">
      <c r="G6481" s="2"/>
    </row>
    <row r="6482" ht="14.25" customHeight="1">
      <c r="G6482" s="2"/>
    </row>
    <row r="6483" ht="14.25" customHeight="1">
      <c r="G6483" s="2"/>
    </row>
    <row r="6484" ht="14.25" customHeight="1">
      <c r="G6484" s="2"/>
    </row>
    <row r="6485" ht="14.25" customHeight="1">
      <c r="G6485" s="2"/>
    </row>
    <row r="6486" ht="14.25" customHeight="1">
      <c r="G6486" s="2"/>
    </row>
    <row r="6487" ht="14.25" customHeight="1">
      <c r="G6487" s="2"/>
    </row>
    <row r="6488" ht="14.25" customHeight="1">
      <c r="G6488" s="2"/>
    </row>
    <row r="6489" ht="14.25" customHeight="1">
      <c r="G6489" s="2"/>
    </row>
    <row r="6490" ht="14.25" customHeight="1">
      <c r="G6490" s="2"/>
    </row>
    <row r="6491" ht="14.25" customHeight="1">
      <c r="G6491" s="2"/>
    </row>
    <row r="6492" ht="14.25" customHeight="1">
      <c r="G6492" s="2"/>
    </row>
    <row r="6493" ht="14.25" customHeight="1">
      <c r="G6493" s="2"/>
    </row>
    <row r="6494" ht="14.25" customHeight="1">
      <c r="G6494" s="2"/>
    </row>
    <row r="6495" ht="14.25" customHeight="1">
      <c r="G6495" s="2"/>
    </row>
    <row r="6496" ht="14.25" customHeight="1">
      <c r="G6496" s="2"/>
    </row>
    <row r="6497" ht="14.25" customHeight="1">
      <c r="G6497" s="2"/>
    </row>
    <row r="6498" ht="14.25" customHeight="1">
      <c r="G6498" s="2"/>
    </row>
    <row r="6499" ht="14.25" customHeight="1">
      <c r="G6499" s="2"/>
    </row>
    <row r="6500" ht="14.25" customHeight="1">
      <c r="G6500" s="2"/>
    </row>
    <row r="6501" ht="14.25" customHeight="1">
      <c r="G6501" s="2"/>
    </row>
    <row r="6502" ht="14.25" customHeight="1">
      <c r="G6502" s="2"/>
    </row>
    <row r="6503" ht="14.25" customHeight="1">
      <c r="G6503" s="2"/>
    </row>
    <row r="6504" ht="14.25" customHeight="1">
      <c r="G6504" s="2"/>
    </row>
    <row r="6505" ht="14.25" customHeight="1">
      <c r="G6505" s="2"/>
    </row>
    <row r="6506" ht="14.25" customHeight="1">
      <c r="G6506" s="2"/>
    </row>
    <row r="6507" ht="14.25" customHeight="1">
      <c r="G6507" s="2"/>
    </row>
    <row r="6508" ht="14.25" customHeight="1">
      <c r="G6508" s="2"/>
    </row>
    <row r="6509" ht="14.25" customHeight="1">
      <c r="G6509" s="2"/>
    </row>
    <row r="6510" ht="14.25" customHeight="1">
      <c r="G6510" s="2"/>
    </row>
    <row r="6511" ht="14.25" customHeight="1">
      <c r="G6511" s="2"/>
    </row>
    <row r="6512" ht="14.25" customHeight="1">
      <c r="G6512" s="2"/>
    </row>
    <row r="6513" ht="14.25" customHeight="1">
      <c r="G6513" s="2"/>
    </row>
    <row r="6514" ht="14.25" customHeight="1">
      <c r="G6514" s="2"/>
    </row>
    <row r="6515" ht="14.25" customHeight="1">
      <c r="G6515" s="2"/>
    </row>
    <row r="6516" ht="14.25" customHeight="1">
      <c r="G6516" s="2"/>
    </row>
    <row r="6517" ht="14.25" customHeight="1">
      <c r="G6517" s="2"/>
    </row>
    <row r="6518" ht="14.25" customHeight="1">
      <c r="G6518" s="2"/>
    </row>
    <row r="6519" ht="14.25" customHeight="1">
      <c r="G6519" s="2"/>
    </row>
    <row r="6520" ht="14.25" customHeight="1">
      <c r="G6520" s="2"/>
    </row>
    <row r="6521" ht="14.25" customHeight="1">
      <c r="G6521" s="2"/>
    </row>
    <row r="6522" ht="14.25" customHeight="1">
      <c r="G6522" s="2"/>
    </row>
    <row r="6523" ht="14.25" customHeight="1">
      <c r="G6523" s="2"/>
    </row>
    <row r="6524" ht="14.25" customHeight="1">
      <c r="G6524" s="2"/>
    </row>
    <row r="6525" ht="14.25" customHeight="1">
      <c r="G6525" s="2"/>
    </row>
    <row r="6526" ht="14.25" customHeight="1">
      <c r="G6526" s="2"/>
    </row>
    <row r="6527" ht="14.25" customHeight="1">
      <c r="G6527" s="2"/>
    </row>
    <row r="6528" ht="14.25" customHeight="1">
      <c r="G6528" s="2"/>
    </row>
    <row r="6529" ht="14.25" customHeight="1">
      <c r="G6529" s="2"/>
    </row>
    <row r="6530" ht="14.25" customHeight="1">
      <c r="G6530" s="2"/>
    </row>
    <row r="6531" ht="14.25" customHeight="1">
      <c r="G6531" s="2"/>
    </row>
    <row r="6532" ht="14.25" customHeight="1">
      <c r="G6532" s="2"/>
    </row>
    <row r="6533" ht="14.25" customHeight="1">
      <c r="G6533" s="2"/>
    </row>
    <row r="6534" ht="14.25" customHeight="1">
      <c r="G6534" s="2"/>
    </row>
    <row r="6535" ht="14.25" customHeight="1">
      <c r="G6535" s="2"/>
    </row>
    <row r="6536" ht="14.25" customHeight="1">
      <c r="G6536" s="2"/>
    </row>
    <row r="6537" ht="14.25" customHeight="1">
      <c r="G6537" s="2"/>
    </row>
    <row r="6538" ht="14.25" customHeight="1">
      <c r="G6538" s="2"/>
    </row>
    <row r="6539" ht="14.25" customHeight="1">
      <c r="G6539" s="2"/>
    </row>
    <row r="6540" ht="14.25" customHeight="1">
      <c r="G6540" s="2"/>
    </row>
    <row r="6541" ht="14.25" customHeight="1">
      <c r="G6541" s="2"/>
    </row>
    <row r="6542" ht="14.25" customHeight="1">
      <c r="G6542" s="2"/>
    </row>
    <row r="6543" ht="14.25" customHeight="1">
      <c r="G6543" s="2"/>
    </row>
    <row r="6544" ht="14.25" customHeight="1">
      <c r="G6544" s="2"/>
    </row>
    <row r="6545" ht="14.25" customHeight="1">
      <c r="G6545" s="2"/>
    </row>
    <row r="6546" ht="14.25" customHeight="1">
      <c r="G6546" s="2"/>
    </row>
    <row r="6547" ht="14.25" customHeight="1">
      <c r="G6547" s="2"/>
    </row>
    <row r="6548" ht="14.25" customHeight="1">
      <c r="G6548" s="2"/>
    </row>
    <row r="6549" ht="14.25" customHeight="1">
      <c r="G6549" s="2"/>
    </row>
    <row r="6550" ht="14.25" customHeight="1">
      <c r="G6550" s="2"/>
    </row>
    <row r="6551" ht="14.25" customHeight="1">
      <c r="G6551" s="2"/>
    </row>
    <row r="6552" ht="14.25" customHeight="1">
      <c r="G6552" s="2"/>
    </row>
    <row r="6553" ht="14.25" customHeight="1">
      <c r="G6553" s="2"/>
    </row>
    <row r="6554" ht="14.25" customHeight="1">
      <c r="G6554" s="2"/>
    </row>
    <row r="6555" ht="14.25" customHeight="1">
      <c r="G6555" s="2"/>
    </row>
    <row r="6556" ht="14.25" customHeight="1">
      <c r="G6556" s="2"/>
    </row>
    <row r="6557" ht="14.25" customHeight="1">
      <c r="G6557" s="2"/>
    </row>
    <row r="6558" ht="14.25" customHeight="1">
      <c r="G6558" s="2"/>
    </row>
    <row r="6559" ht="14.25" customHeight="1">
      <c r="G6559" s="2"/>
    </row>
    <row r="6560" ht="14.25" customHeight="1">
      <c r="G6560" s="2"/>
    </row>
    <row r="6561" ht="14.25" customHeight="1">
      <c r="G6561" s="2"/>
    </row>
    <row r="6562" ht="14.25" customHeight="1">
      <c r="G6562" s="2"/>
    </row>
    <row r="6563" ht="14.25" customHeight="1">
      <c r="G6563" s="2"/>
    </row>
    <row r="6564" ht="14.25" customHeight="1">
      <c r="G6564" s="2"/>
    </row>
    <row r="6565" ht="14.25" customHeight="1">
      <c r="G6565" s="2"/>
    </row>
    <row r="6566" ht="14.25" customHeight="1">
      <c r="G6566" s="2"/>
    </row>
    <row r="6567" ht="14.25" customHeight="1">
      <c r="G6567" s="2"/>
    </row>
    <row r="6568" ht="14.25" customHeight="1">
      <c r="G6568" s="2"/>
    </row>
    <row r="6569" ht="14.25" customHeight="1">
      <c r="G6569" s="2"/>
    </row>
    <row r="6570" ht="14.25" customHeight="1">
      <c r="G6570" s="2"/>
    </row>
    <row r="6571" ht="14.25" customHeight="1">
      <c r="G6571" s="2"/>
    </row>
    <row r="6572" ht="14.25" customHeight="1">
      <c r="G6572" s="2"/>
    </row>
    <row r="6573" ht="14.25" customHeight="1">
      <c r="G6573" s="2"/>
    </row>
    <row r="6574" ht="14.25" customHeight="1">
      <c r="G6574" s="2"/>
    </row>
    <row r="6575" ht="14.25" customHeight="1">
      <c r="G6575" s="2"/>
    </row>
    <row r="6576" ht="14.25" customHeight="1">
      <c r="G6576" s="2"/>
    </row>
    <row r="6577" ht="14.25" customHeight="1">
      <c r="G6577" s="2"/>
    </row>
    <row r="6578" ht="14.25" customHeight="1">
      <c r="G6578" s="2"/>
    </row>
    <row r="6579" ht="14.25" customHeight="1">
      <c r="G6579" s="2"/>
    </row>
    <row r="6580" ht="14.25" customHeight="1">
      <c r="G6580" s="2"/>
    </row>
    <row r="6581" ht="14.25" customHeight="1">
      <c r="G6581" s="2"/>
    </row>
    <row r="6582" ht="14.25" customHeight="1">
      <c r="G6582" s="2"/>
    </row>
    <row r="6583" ht="14.25" customHeight="1">
      <c r="G6583" s="2"/>
    </row>
    <row r="6584" ht="14.25" customHeight="1">
      <c r="G6584" s="2"/>
    </row>
    <row r="6585" ht="14.25" customHeight="1">
      <c r="G6585" s="2"/>
    </row>
    <row r="6586" ht="14.25" customHeight="1">
      <c r="G6586" s="2"/>
    </row>
    <row r="6587" ht="14.25" customHeight="1">
      <c r="G6587" s="2"/>
    </row>
    <row r="6588" ht="14.25" customHeight="1">
      <c r="G6588" s="2"/>
    </row>
    <row r="6589" ht="14.25" customHeight="1">
      <c r="G6589" s="2"/>
    </row>
    <row r="6590" ht="14.25" customHeight="1">
      <c r="G6590" s="2"/>
    </row>
    <row r="6591" ht="14.25" customHeight="1">
      <c r="G6591" s="2"/>
    </row>
    <row r="6592" ht="14.25" customHeight="1">
      <c r="G6592" s="2"/>
    </row>
    <row r="6593" ht="14.25" customHeight="1">
      <c r="G6593" s="2"/>
    </row>
    <row r="6594" ht="14.25" customHeight="1">
      <c r="G6594" s="2"/>
    </row>
    <row r="6595" ht="14.25" customHeight="1">
      <c r="G6595" s="2"/>
    </row>
    <row r="6596" ht="14.25" customHeight="1">
      <c r="G6596" s="2"/>
    </row>
    <row r="6597" ht="14.25" customHeight="1">
      <c r="G6597" s="2"/>
    </row>
    <row r="6598" ht="14.25" customHeight="1">
      <c r="G6598" s="2"/>
    </row>
    <row r="6599" ht="14.25" customHeight="1">
      <c r="G6599" s="2"/>
    </row>
    <row r="6600" ht="14.25" customHeight="1">
      <c r="G6600" s="2"/>
    </row>
    <row r="6601" ht="14.25" customHeight="1">
      <c r="G6601" s="2"/>
    </row>
    <row r="6602" ht="14.25" customHeight="1">
      <c r="G6602" s="2"/>
    </row>
    <row r="6603" ht="14.25" customHeight="1">
      <c r="G6603" s="2"/>
    </row>
    <row r="6604" ht="14.25" customHeight="1">
      <c r="G6604" s="2"/>
    </row>
    <row r="6605" ht="14.25" customHeight="1">
      <c r="G6605" s="2"/>
    </row>
    <row r="6606" ht="14.25" customHeight="1">
      <c r="G6606" s="2"/>
    </row>
    <row r="6607" ht="14.25" customHeight="1">
      <c r="G6607" s="2"/>
    </row>
    <row r="6608" ht="14.25" customHeight="1">
      <c r="G6608" s="2"/>
    </row>
    <row r="6609" ht="14.25" customHeight="1">
      <c r="G6609" s="2"/>
    </row>
    <row r="6610" ht="14.25" customHeight="1">
      <c r="G6610" s="2"/>
    </row>
    <row r="6611" ht="14.25" customHeight="1">
      <c r="G6611" s="2"/>
    </row>
    <row r="6612" ht="14.25" customHeight="1">
      <c r="G6612" s="2"/>
    </row>
    <row r="6613" ht="14.25" customHeight="1">
      <c r="G6613" s="2"/>
    </row>
    <row r="6614" ht="14.25" customHeight="1">
      <c r="G6614" s="2"/>
    </row>
    <row r="6615" ht="14.25" customHeight="1">
      <c r="G6615" s="2"/>
    </row>
    <row r="6616" ht="14.25" customHeight="1">
      <c r="G6616" s="2"/>
    </row>
    <row r="6617" ht="14.25" customHeight="1">
      <c r="G6617" s="2"/>
    </row>
    <row r="6618" ht="14.25" customHeight="1">
      <c r="G6618" s="2"/>
    </row>
    <row r="6619" ht="14.25" customHeight="1">
      <c r="G6619" s="2"/>
    </row>
    <row r="6620" ht="14.25" customHeight="1">
      <c r="G6620" s="2"/>
    </row>
    <row r="6621" ht="14.25" customHeight="1">
      <c r="G6621" s="2"/>
    </row>
    <row r="6622" ht="14.25" customHeight="1">
      <c r="G6622" s="2"/>
    </row>
    <row r="6623" ht="14.25" customHeight="1">
      <c r="G6623" s="2"/>
    </row>
    <row r="6624" ht="14.25" customHeight="1">
      <c r="G6624" s="2"/>
    </row>
    <row r="6625" ht="14.25" customHeight="1">
      <c r="G6625" s="2"/>
    </row>
    <row r="6626" ht="14.25" customHeight="1">
      <c r="G6626" s="2"/>
    </row>
    <row r="6627" ht="14.25" customHeight="1">
      <c r="G6627" s="2"/>
    </row>
    <row r="6628" ht="14.25" customHeight="1">
      <c r="G6628" s="2"/>
    </row>
    <row r="6629" ht="14.25" customHeight="1">
      <c r="G6629" s="2"/>
    </row>
    <row r="6630" ht="14.25" customHeight="1">
      <c r="G6630" s="2"/>
    </row>
    <row r="6631" ht="14.25" customHeight="1">
      <c r="G6631" s="2"/>
    </row>
    <row r="6632" ht="14.25" customHeight="1">
      <c r="G6632" s="2"/>
    </row>
    <row r="6633" ht="14.25" customHeight="1">
      <c r="G6633" s="2"/>
    </row>
    <row r="6634" ht="14.25" customHeight="1">
      <c r="G6634" s="2"/>
    </row>
    <row r="6635" ht="14.25" customHeight="1">
      <c r="G6635" s="2"/>
    </row>
    <row r="6636" ht="14.25" customHeight="1">
      <c r="G6636" s="2"/>
    </row>
    <row r="6637" ht="14.25" customHeight="1">
      <c r="G6637" s="2"/>
    </row>
    <row r="6638" ht="14.25" customHeight="1">
      <c r="G6638" s="2"/>
    </row>
    <row r="6639" ht="14.25" customHeight="1">
      <c r="G6639" s="2"/>
    </row>
    <row r="6640" ht="14.25" customHeight="1">
      <c r="G6640" s="2"/>
    </row>
    <row r="6641" ht="14.25" customHeight="1">
      <c r="G6641" s="2"/>
    </row>
    <row r="6642" ht="14.25" customHeight="1">
      <c r="G6642" s="2"/>
    </row>
    <row r="6643" ht="14.25" customHeight="1">
      <c r="G6643" s="2"/>
    </row>
    <row r="6644" ht="14.25" customHeight="1">
      <c r="G6644" s="2"/>
    </row>
    <row r="6645" ht="14.25" customHeight="1">
      <c r="G6645" s="2"/>
    </row>
    <row r="6646" ht="14.25" customHeight="1">
      <c r="G6646" s="2"/>
    </row>
    <row r="6647" ht="14.25" customHeight="1">
      <c r="G6647" s="2"/>
    </row>
    <row r="6648" ht="14.25" customHeight="1">
      <c r="G6648" s="2"/>
    </row>
    <row r="6649" ht="14.25" customHeight="1">
      <c r="G6649" s="2"/>
    </row>
    <row r="6650" ht="14.25" customHeight="1">
      <c r="G6650" s="2"/>
    </row>
    <row r="6651" ht="14.25" customHeight="1">
      <c r="G6651" s="2"/>
    </row>
    <row r="6652" ht="14.25" customHeight="1">
      <c r="G6652" s="2"/>
    </row>
    <row r="6653" ht="14.25" customHeight="1">
      <c r="G6653" s="2"/>
    </row>
    <row r="6654" ht="14.25" customHeight="1">
      <c r="G6654" s="2"/>
    </row>
    <row r="6655" ht="14.25" customHeight="1">
      <c r="G6655" s="2"/>
    </row>
    <row r="6656" ht="14.25" customHeight="1">
      <c r="G6656" s="2"/>
    </row>
    <row r="6657" ht="14.25" customHeight="1">
      <c r="G6657" s="2"/>
    </row>
    <row r="6658" ht="14.25" customHeight="1">
      <c r="G6658" s="2"/>
    </row>
    <row r="6659" ht="14.25" customHeight="1">
      <c r="G6659" s="2"/>
    </row>
    <row r="6660" ht="14.25" customHeight="1">
      <c r="G6660" s="2"/>
    </row>
    <row r="6661" ht="14.25" customHeight="1">
      <c r="G6661" s="2"/>
    </row>
    <row r="6662" ht="14.25" customHeight="1">
      <c r="G6662" s="2"/>
    </row>
    <row r="6663" ht="14.25" customHeight="1">
      <c r="G6663" s="2"/>
    </row>
    <row r="6664" ht="14.25" customHeight="1">
      <c r="G6664" s="2"/>
    </row>
    <row r="6665" ht="14.25" customHeight="1">
      <c r="G6665" s="2"/>
    </row>
    <row r="6666" ht="14.25" customHeight="1">
      <c r="G6666" s="2"/>
    </row>
    <row r="6667" ht="14.25" customHeight="1">
      <c r="G6667" s="2"/>
    </row>
    <row r="6668" ht="14.25" customHeight="1">
      <c r="G6668" s="2"/>
    </row>
    <row r="6669" ht="14.25" customHeight="1">
      <c r="G6669" s="2"/>
    </row>
    <row r="6670" ht="14.25" customHeight="1">
      <c r="G6670" s="2"/>
    </row>
    <row r="6671" ht="14.25" customHeight="1">
      <c r="G6671" s="2"/>
    </row>
    <row r="6672" ht="14.25" customHeight="1">
      <c r="G6672" s="2"/>
    </row>
    <row r="6673" ht="14.25" customHeight="1">
      <c r="G6673" s="2"/>
    </row>
    <row r="6674" ht="14.25" customHeight="1">
      <c r="G6674" s="2"/>
    </row>
    <row r="6675" ht="14.25" customHeight="1">
      <c r="G6675" s="2"/>
    </row>
    <row r="6676" ht="14.25" customHeight="1">
      <c r="G6676" s="2"/>
    </row>
    <row r="6677" ht="14.25" customHeight="1">
      <c r="G6677" s="2"/>
    </row>
    <row r="6678" ht="14.25" customHeight="1">
      <c r="G6678" s="2"/>
    </row>
    <row r="6679" ht="14.25" customHeight="1">
      <c r="G6679" s="2"/>
    </row>
    <row r="6680" ht="14.25" customHeight="1">
      <c r="G6680" s="2"/>
    </row>
    <row r="6681" ht="14.25" customHeight="1">
      <c r="G6681" s="2"/>
    </row>
    <row r="6682" ht="14.25" customHeight="1">
      <c r="G6682" s="2"/>
    </row>
    <row r="6683" ht="14.25" customHeight="1">
      <c r="G6683" s="2"/>
    </row>
    <row r="6684" ht="14.25" customHeight="1">
      <c r="G6684" s="2"/>
    </row>
    <row r="6685" ht="14.25" customHeight="1">
      <c r="G6685" s="2"/>
    </row>
    <row r="6686" ht="14.25" customHeight="1">
      <c r="G6686" s="2"/>
    </row>
    <row r="6687" ht="14.25" customHeight="1">
      <c r="G6687" s="2"/>
    </row>
    <row r="6688" ht="14.25" customHeight="1">
      <c r="G6688" s="2"/>
    </row>
    <row r="6689" ht="14.25" customHeight="1">
      <c r="G6689" s="2"/>
    </row>
    <row r="6690" ht="14.25" customHeight="1">
      <c r="G6690" s="2"/>
    </row>
    <row r="6691" ht="14.25" customHeight="1">
      <c r="G6691" s="2"/>
    </row>
    <row r="6692" ht="14.25" customHeight="1">
      <c r="G6692" s="2"/>
    </row>
    <row r="6693" ht="14.25" customHeight="1">
      <c r="G6693" s="2"/>
    </row>
    <row r="6694" ht="14.25" customHeight="1">
      <c r="G6694" s="2"/>
    </row>
    <row r="6695" ht="14.25" customHeight="1">
      <c r="G6695" s="2"/>
    </row>
    <row r="6696" ht="14.25" customHeight="1">
      <c r="G6696" s="2"/>
    </row>
    <row r="6697" ht="14.25" customHeight="1">
      <c r="G6697" s="2"/>
    </row>
    <row r="6698" ht="14.25" customHeight="1">
      <c r="G6698" s="2"/>
    </row>
    <row r="6699" ht="14.25" customHeight="1">
      <c r="G6699" s="2"/>
    </row>
    <row r="6700" ht="14.25" customHeight="1">
      <c r="G6700" s="2"/>
    </row>
    <row r="6701" ht="14.25" customHeight="1">
      <c r="G6701" s="2"/>
    </row>
    <row r="6702" ht="14.25" customHeight="1">
      <c r="G6702" s="2"/>
    </row>
    <row r="6703" ht="14.25" customHeight="1">
      <c r="G6703" s="2"/>
    </row>
    <row r="6704" ht="14.25" customHeight="1">
      <c r="G6704" s="2"/>
    </row>
    <row r="6705" ht="14.25" customHeight="1">
      <c r="G6705" s="2"/>
    </row>
    <row r="6706" ht="14.25" customHeight="1">
      <c r="G6706" s="2"/>
    </row>
    <row r="6707" ht="14.25" customHeight="1">
      <c r="G6707" s="2"/>
    </row>
    <row r="6708" ht="14.25" customHeight="1">
      <c r="G6708" s="2"/>
    </row>
    <row r="6709" ht="14.25" customHeight="1">
      <c r="G6709" s="2"/>
    </row>
    <row r="6710" ht="14.25" customHeight="1">
      <c r="G6710" s="2"/>
    </row>
    <row r="6711" ht="14.25" customHeight="1">
      <c r="G6711" s="2"/>
    </row>
    <row r="6712" ht="14.25" customHeight="1">
      <c r="G6712" s="2"/>
    </row>
    <row r="6713" ht="14.25" customHeight="1">
      <c r="G6713" s="2"/>
    </row>
    <row r="6714" ht="14.25" customHeight="1">
      <c r="G6714" s="2"/>
    </row>
    <row r="6715" ht="14.25" customHeight="1">
      <c r="G6715" s="2"/>
    </row>
    <row r="6716" ht="14.25" customHeight="1">
      <c r="G6716" s="2"/>
    </row>
    <row r="6717" ht="14.25" customHeight="1">
      <c r="G6717" s="2"/>
    </row>
    <row r="6718" ht="14.25" customHeight="1">
      <c r="G6718" s="2"/>
    </row>
    <row r="6719" ht="14.25" customHeight="1">
      <c r="G6719" s="2"/>
    </row>
    <row r="6720" ht="14.25" customHeight="1">
      <c r="G6720" s="2"/>
    </row>
    <row r="6721" ht="14.25" customHeight="1">
      <c r="G6721" s="2"/>
    </row>
    <row r="6722" ht="14.25" customHeight="1">
      <c r="G6722" s="2"/>
    </row>
    <row r="6723" ht="14.25" customHeight="1">
      <c r="G6723" s="2"/>
    </row>
    <row r="6724" ht="14.25" customHeight="1">
      <c r="G6724" s="2"/>
    </row>
    <row r="6725" ht="14.25" customHeight="1">
      <c r="G6725" s="2"/>
    </row>
    <row r="6726" ht="14.25" customHeight="1">
      <c r="G6726" s="2"/>
    </row>
    <row r="6727" ht="14.25" customHeight="1">
      <c r="G6727" s="2"/>
    </row>
    <row r="6728" ht="14.25" customHeight="1">
      <c r="G6728" s="2"/>
    </row>
    <row r="6729" ht="14.25" customHeight="1">
      <c r="G6729" s="2"/>
    </row>
    <row r="6730" ht="14.25" customHeight="1">
      <c r="G6730" s="2"/>
    </row>
    <row r="6731" ht="14.25" customHeight="1">
      <c r="G6731" s="2"/>
    </row>
    <row r="6732" ht="14.25" customHeight="1">
      <c r="G6732" s="2"/>
    </row>
    <row r="6733" ht="14.25" customHeight="1">
      <c r="G6733" s="2"/>
    </row>
    <row r="6734" ht="14.25" customHeight="1">
      <c r="G6734" s="2"/>
    </row>
    <row r="6735" ht="14.25" customHeight="1">
      <c r="G6735" s="2"/>
    </row>
    <row r="6736" ht="14.25" customHeight="1">
      <c r="G6736" s="2"/>
    </row>
    <row r="6737" ht="14.25" customHeight="1">
      <c r="G6737" s="2"/>
    </row>
    <row r="6738" ht="14.25" customHeight="1">
      <c r="G6738" s="2"/>
    </row>
    <row r="6739" ht="14.25" customHeight="1">
      <c r="G6739" s="2"/>
    </row>
    <row r="6740" ht="14.25" customHeight="1">
      <c r="G6740" s="2"/>
    </row>
    <row r="6741" ht="14.25" customHeight="1">
      <c r="G6741" s="2"/>
    </row>
    <row r="6742" ht="14.25" customHeight="1">
      <c r="G6742" s="2"/>
    </row>
    <row r="6743" ht="14.25" customHeight="1">
      <c r="G6743" s="2"/>
    </row>
    <row r="6744" ht="14.25" customHeight="1">
      <c r="G6744" s="2"/>
    </row>
    <row r="6745" ht="14.25" customHeight="1">
      <c r="G6745" s="2"/>
    </row>
    <row r="6746" ht="14.25" customHeight="1">
      <c r="G6746" s="2"/>
    </row>
    <row r="6747" ht="14.25" customHeight="1">
      <c r="G6747" s="2"/>
    </row>
    <row r="6748" ht="14.25" customHeight="1">
      <c r="G6748" s="2"/>
    </row>
    <row r="6749" ht="14.25" customHeight="1">
      <c r="G6749" s="2"/>
    </row>
    <row r="6750" ht="14.25" customHeight="1">
      <c r="G6750" s="2"/>
    </row>
    <row r="6751" ht="14.25" customHeight="1">
      <c r="G6751" s="2"/>
    </row>
    <row r="6752" ht="14.25" customHeight="1">
      <c r="G6752" s="2"/>
    </row>
    <row r="6753" ht="14.25" customHeight="1">
      <c r="G6753" s="2"/>
    </row>
    <row r="6754" ht="14.25" customHeight="1">
      <c r="G6754" s="2"/>
    </row>
    <row r="6755" ht="14.25" customHeight="1">
      <c r="G6755" s="2"/>
    </row>
    <row r="6756" ht="14.25" customHeight="1">
      <c r="G6756" s="2"/>
    </row>
    <row r="6757" ht="14.25" customHeight="1">
      <c r="G6757" s="2"/>
    </row>
    <row r="6758" ht="14.25" customHeight="1">
      <c r="G6758" s="2"/>
    </row>
    <row r="6759" ht="14.25" customHeight="1">
      <c r="G6759" s="2"/>
    </row>
    <row r="6760" ht="14.25" customHeight="1">
      <c r="G6760" s="2"/>
    </row>
    <row r="6761" ht="14.25" customHeight="1">
      <c r="G6761" s="2"/>
    </row>
    <row r="6762" ht="14.25" customHeight="1">
      <c r="G6762" s="2"/>
    </row>
    <row r="6763" ht="14.25" customHeight="1">
      <c r="G6763" s="2"/>
    </row>
    <row r="6764" ht="14.25" customHeight="1">
      <c r="G6764" s="2"/>
    </row>
    <row r="6765" ht="14.25" customHeight="1">
      <c r="G6765" s="2"/>
    </row>
    <row r="6766" ht="14.25" customHeight="1">
      <c r="G6766" s="2"/>
    </row>
    <row r="6767" ht="14.25" customHeight="1">
      <c r="G6767" s="2"/>
    </row>
    <row r="6768" ht="14.25" customHeight="1">
      <c r="G6768" s="2"/>
    </row>
    <row r="6769" ht="14.25" customHeight="1">
      <c r="G6769" s="2"/>
    </row>
    <row r="6770" ht="14.25" customHeight="1">
      <c r="G6770" s="2"/>
    </row>
    <row r="6771" ht="14.25" customHeight="1">
      <c r="G6771" s="2"/>
    </row>
    <row r="6772" ht="14.25" customHeight="1">
      <c r="G6772" s="2"/>
    </row>
    <row r="6773" ht="14.25" customHeight="1">
      <c r="G6773" s="2"/>
    </row>
    <row r="6774" ht="14.25" customHeight="1">
      <c r="G6774" s="2"/>
    </row>
    <row r="6775" ht="14.25" customHeight="1">
      <c r="G6775" s="2"/>
    </row>
    <row r="6776" ht="14.25" customHeight="1">
      <c r="G6776" s="2"/>
    </row>
    <row r="6777" ht="14.25" customHeight="1">
      <c r="G6777" s="2"/>
    </row>
    <row r="6778" ht="14.25" customHeight="1">
      <c r="G6778" s="2"/>
    </row>
    <row r="6779" ht="14.25" customHeight="1">
      <c r="G6779" s="2"/>
    </row>
    <row r="6780" ht="14.25" customHeight="1">
      <c r="G6780" s="2"/>
    </row>
    <row r="6781" ht="14.25" customHeight="1">
      <c r="G6781" s="2"/>
    </row>
    <row r="6782" ht="14.25" customHeight="1">
      <c r="G6782" s="2"/>
    </row>
    <row r="6783" ht="14.25" customHeight="1">
      <c r="G6783" s="2"/>
    </row>
    <row r="6784" ht="14.25" customHeight="1">
      <c r="G6784" s="2"/>
    </row>
    <row r="6785" ht="14.25" customHeight="1">
      <c r="G6785" s="2"/>
    </row>
    <row r="6786" ht="14.25" customHeight="1">
      <c r="G6786" s="2"/>
    </row>
    <row r="6787" ht="14.25" customHeight="1">
      <c r="G6787" s="2"/>
    </row>
    <row r="6788" ht="14.25" customHeight="1">
      <c r="G6788" s="2"/>
    </row>
    <row r="6789" ht="14.25" customHeight="1">
      <c r="G6789" s="2"/>
    </row>
    <row r="6790" ht="14.25" customHeight="1">
      <c r="G6790" s="2"/>
    </row>
    <row r="6791" ht="14.25" customHeight="1">
      <c r="G6791" s="2"/>
    </row>
    <row r="6792" ht="14.25" customHeight="1">
      <c r="G6792" s="2"/>
    </row>
    <row r="6793" ht="14.25" customHeight="1">
      <c r="G6793" s="2"/>
    </row>
    <row r="6794" ht="14.25" customHeight="1">
      <c r="G6794" s="2"/>
    </row>
    <row r="6795" ht="14.25" customHeight="1">
      <c r="G6795" s="2"/>
    </row>
    <row r="6796" ht="14.25" customHeight="1">
      <c r="G6796" s="2"/>
    </row>
    <row r="6797" ht="14.25" customHeight="1">
      <c r="G6797" s="2"/>
    </row>
    <row r="6798" ht="14.25" customHeight="1">
      <c r="G6798" s="2"/>
    </row>
    <row r="6799" ht="14.25" customHeight="1">
      <c r="G6799" s="2"/>
    </row>
    <row r="6800" ht="14.25" customHeight="1">
      <c r="G6800" s="2"/>
    </row>
    <row r="6801" ht="14.25" customHeight="1">
      <c r="G6801" s="2"/>
    </row>
    <row r="6802" ht="14.25" customHeight="1">
      <c r="G6802" s="2"/>
    </row>
    <row r="6803" ht="14.25" customHeight="1">
      <c r="G6803" s="2"/>
    </row>
    <row r="6804" ht="14.25" customHeight="1">
      <c r="G6804" s="2"/>
    </row>
    <row r="6805" ht="14.25" customHeight="1">
      <c r="G6805" s="2"/>
    </row>
    <row r="6806" ht="14.25" customHeight="1">
      <c r="G6806" s="2"/>
    </row>
    <row r="6807" ht="14.25" customHeight="1">
      <c r="G6807" s="2"/>
    </row>
    <row r="6808" ht="14.25" customHeight="1">
      <c r="G6808" s="2"/>
    </row>
    <row r="6809" ht="14.25" customHeight="1">
      <c r="G6809" s="2"/>
    </row>
    <row r="6810" ht="14.25" customHeight="1">
      <c r="G6810" s="2"/>
    </row>
    <row r="6811" ht="14.25" customHeight="1">
      <c r="G6811" s="2"/>
    </row>
    <row r="6812" ht="14.25" customHeight="1">
      <c r="G6812" s="2"/>
    </row>
    <row r="6813" ht="14.25" customHeight="1">
      <c r="G6813" s="2"/>
    </row>
    <row r="6814" ht="14.25" customHeight="1">
      <c r="G6814" s="2"/>
    </row>
    <row r="6815" ht="14.25" customHeight="1">
      <c r="G6815" s="2"/>
    </row>
    <row r="6816" ht="14.25" customHeight="1">
      <c r="G6816" s="2"/>
    </row>
    <row r="6817" ht="14.25" customHeight="1">
      <c r="G6817" s="2"/>
    </row>
    <row r="6818" ht="14.25" customHeight="1">
      <c r="G6818" s="2"/>
    </row>
    <row r="6819" ht="14.25" customHeight="1">
      <c r="G6819" s="2"/>
    </row>
    <row r="6820" ht="14.25" customHeight="1">
      <c r="G6820" s="2"/>
    </row>
    <row r="6821" ht="14.25" customHeight="1">
      <c r="G6821" s="2"/>
    </row>
    <row r="6822" ht="14.25" customHeight="1">
      <c r="G6822" s="2"/>
    </row>
    <row r="6823" ht="14.25" customHeight="1">
      <c r="G6823" s="2"/>
    </row>
    <row r="6824" ht="14.25" customHeight="1">
      <c r="G6824" s="2"/>
    </row>
    <row r="6825" ht="14.25" customHeight="1">
      <c r="G6825" s="2"/>
    </row>
    <row r="6826" ht="14.25" customHeight="1">
      <c r="G6826" s="2"/>
    </row>
    <row r="6827" ht="14.25" customHeight="1">
      <c r="G6827" s="2"/>
    </row>
    <row r="6828" ht="14.25" customHeight="1">
      <c r="G6828" s="2"/>
    </row>
    <row r="6829" ht="14.25" customHeight="1">
      <c r="G6829" s="2"/>
    </row>
    <row r="6830" ht="14.25" customHeight="1">
      <c r="G6830" s="2"/>
    </row>
    <row r="6831" ht="14.25" customHeight="1">
      <c r="G6831" s="2"/>
    </row>
    <row r="6832" ht="14.25" customHeight="1">
      <c r="G6832" s="2"/>
    </row>
    <row r="6833" ht="14.25" customHeight="1">
      <c r="G6833" s="2"/>
    </row>
    <row r="6834" ht="14.25" customHeight="1">
      <c r="G6834" s="2"/>
    </row>
    <row r="6835" ht="14.25" customHeight="1">
      <c r="G6835" s="2"/>
    </row>
    <row r="6836" ht="14.25" customHeight="1">
      <c r="G6836" s="2"/>
    </row>
    <row r="6837" ht="14.25" customHeight="1">
      <c r="G6837" s="2"/>
    </row>
    <row r="6838" ht="14.25" customHeight="1">
      <c r="G6838" s="2"/>
    </row>
    <row r="6839" ht="14.25" customHeight="1">
      <c r="G6839" s="2"/>
    </row>
    <row r="6840" ht="14.25" customHeight="1">
      <c r="G6840" s="2"/>
    </row>
    <row r="6841" ht="14.25" customHeight="1">
      <c r="G6841" s="2"/>
    </row>
    <row r="6842" ht="14.25" customHeight="1">
      <c r="G6842" s="2"/>
    </row>
    <row r="6843" ht="14.25" customHeight="1">
      <c r="G6843" s="2"/>
    </row>
    <row r="6844" ht="14.25" customHeight="1">
      <c r="G6844" s="2"/>
    </row>
    <row r="6845" ht="14.25" customHeight="1">
      <c r="G6845" s="2"/>
    </row>
    <row r="6846" ht="14.25" customHeight="1">
      <c r="G6846" s="2"/>
    </row>
    <row r="6847" ht="14.25" customHeight="1">
      <c r="G6847" s="2"/>
    </row>
    <row r="6848" ht="14.25" customHeight="1">
      <c r="G6848" s="2"/>
    </row>
    <row r="6849" ht="14.25" customHeight="1">
      <c r="G6849" s="2"/>
    </row>
    <row r="6850" ht="14.25" customHeight="1">
      <c r="G6850" s="2"/>
    </row>
    <row r="6851" ht="14.25" customHeight="1">
      <c r="G6851" s="2"/>
    </row>
    <row r="6852" ht="14.25" customHeight="1">
      <c r="G6852" s="2"/>
    </row>
    <row r="6853" ht="14.25" customHeight="1">
      <c r="G6853" s="2"/>
    </row>
    <row r="6854" ht="14.25" customHeight="1">
      <c r="G6854" s="2"/>
    </row>
    <row r="6855" ht="14.25" customHeight="1">
      <c r="G6855" s="2"/>
    </row>
    <row r="6856" ht="14.25" customHeight="1">
      <c r="G6856" s="2"/>
    </row>
    <row r="6857" ht="14.25" customHeight="1">
      <c r="G6857" s="2"/>
    </row>
    <row r="6858" ht="14.25" customHeight="1">
      <c r="G6858" s="2"/>
    </row>
    <row r="6859" ht="14.25" customHeight="1">
      <c r="G6859" s="2"/>
    </row>
    <row r="6860" ht="14.25" customHeight="1">
      <c r="G6860" s="2"/>
    </row>
    <row r="6861" ht="14.25" customHeight="1">
      <c r="G6861" s="2"/>
    </row>
    <row r="6862" ht="14.25" customHeight="1">
      <c r="G6862" s="2"/>
    </row>
    <row r="6863" ht="14.25" customHeight="1">
      <c r="G6863" s="2"/>
    </row>
    <row r="6864" ht="14.25" customHeight="1">
      <c r="G6864" s="2"/>
    </row>
    <row r="6865" ht="14.25" customHeight="1">
      <c r="G6865" s="2"/>
    </row>
    <row r="6866" ht="14.25" customHeight="1">
      <c r="G6866" s="3"/>
    </row>
    <row r="6867" ht="14.25" customHeight="1">
      <c r="G6867" s="2"/>
    </row>
    <row r="6868" ht="14.25" customHeight="1">
      <c r="G6868" s="2"/>
    </row>
    <row r="6869" ht="14.25" customHeight="1">
      <c r="G6869" s="2"/>
    </row>
    <row r="6870" ht="14.25" customHeight="1">
      <c r="G6870" s="2"/>
    </row>
    <row r="6871" ht="14.25" customHeight="1">
      <c r="G6871" s="2"/>
    </row>
    <row r="6872" ht="14.25" customHeight="1">
      <c r="G6872" s="2"/>
    </row>
    <row r="6873" ht="14.25" customHeight="1">
      <c r="G6873" s="2"/>
    </row>
    <row r="6874" ht="14.25" customHeight="1">
      <c r="G6874" s="2"/>
    </row>
    <row r="6875" ht="14.25" customHeight="1">
      <c r="G6875" s="2"/>
    </row>
    <row r="6876" ht="14.25" customHeight="1">
      <c r="G6876" s="2"/>
    </row>
    <row r="6877" ht="14.25" customHeight="1">
      <c r="G6877" s="2"/>
    </row>
    <row r="6878" ht="14.25" customHeight="1">
      <c r="G6878" s="2"/>
    </row>
    <row r="6879" ht="14.25" customHeight="1">
      <c r="G6879" s="2"/>
    </row>
    <row r="6880" ht="14.25" customHeight="1">
      <c r="G6880" s="2"/>
    </row>
    <row r="6881" ht="14.25" customHeight="1">
      <c r="G6881" s="2"/>
    </row>
    <row r="6882" ht="14.25" customHeight="1">
      <c r="G6882" s="2"/>
    </row>
    <row r="6883" ht="14.25" customHeight="1">
      <c r="G6883" s="2"/>
    </row>
    <row r="6884" ht="14.25" customHeight="1">
      <c r="G6884" s="2"/>
    </row>
    <row r="6885" ht="14.25" customHeight="1">
      <c r="G6885" s="2"/>
    </row>
    <row r="6886" ht="14.25" customHeight="1">
      <c r="G6886" s="2"/>
    </row>
    <row r="6887" ht="14.25" customHeight="1">
      <c r="G6887" s="2"/>
    </row>
    <row r="6888" ht="14.25" customHeight="1">
      <c r="G6888" s="2"/>
    </row>
    <row r="6889" ht="14.25" customHeight="1">
      <c r="G6889" s="2"/>
    </row>
    <row r="6890" ht="14.25" customHeight="1">
      <c r="G6890" s="2"/>
    </row>
    <row r="6891" ht="14.25" customHeight="1">
      <c r="G6891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5.29"/>
    <col customWidth="1" min="2" max="2" width="16.29"/>
    <col customWidth="1" min="3" max="3" width="17.71"/>
    <col customWidth="1" min="4" max="4" width="18.29"/>
    <col customWidth="1" min="5" max="5" width="16.29"/>
    <col customWidth="1" min="6" max="6" width="42.43"/>
    <col customWidth="1" min="7" max="26" width="8.71"/>
  </cols>
  <sheetData>
    <row r="1" ht="14.25" customHeight="1">
      <c r="A1" s="5"/>
      <c r="B1" s="5"/>
      <c r="C1" s="5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 t="s">
        <v>5621</v>
      </c>
      <c r="B2" s="8" t="str">
        <f>'LIBERAÇÕES'!E2</f>
        <v>ORIGEM</v>
      </c>
      <c r="C2" s="7" t="s">
        <v>5622</v>
      </c>
      <c r="D2" s="9" t="str">
        <f>'LIBERAÇÕES'!F2</f>
        <v>COLETA</v>
      </c>
      <c r="E2" s="10">
        <f>'LIBERAÇÕES'!L4</f>
        <v>-73</v>
      </c>
      <c r="F2" s="11" t="s">
        <v>5623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" t="s">
        <v>5624</v>
      </c>
      <c r="B3" s="8" t="str">
        <f>'LIBERAÇÕES'!G2</f>
        <v>DESTINO</v>
      </c>
      <c r="C3" s="7" t="s">
        <v>5625</v>
      </c>
      <c r="D3" s="12" t="str">
        <f>'LIBERAÇÕES'!M2</f>
        <v>TERMINAL</v>
      </c>
      <c r="E3" s="13" t="s">
        <v>5626</v>
      </c>
      <c r="F3" s="1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5" t="s">
        <v>5627</v>
      </c>
      <c r="B4" s="12" t="str">
        <f>'LIBERAÇÕES'!C2</f>
        <v>CLIENTE</v>
      </c>
      <c r="C4" s="15" t="s">
        <v>5628</v>
      </c>
      <c r="D4" s="16" t="str">
        <f>'LIBERAÇÕES'!I2</f>
        <v>TOTAL
FARDOS</v>
      </c>
      <c r="E4" s="17" t="str">
        <f>'LIBERAÇÕES'!N2</f>
        <v>TIPO DE FARDO</v>
      </c>
      <c r="F4" s="1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5" t="s">
        <v>5629</v>
      </c>
      <c r="B5" s="18" t="str">
        <f>'LIBERAÇÕES'!J2</f>
        <v>INSTRUÇÃO</v>
      </c>
      <c r="C5" s="19" t="s">
        <v>5630</v>
      </c>
      <c r="D5" s="16">
        <f>SUM(E8:E17)</f>
        <v>0</v>
      </c>
      <c r="E5" s="13" t="s">
        <v>5631</v>
      </c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5" t="s">
        <v>5632</v>
      </c>
      <c r="B6" s="20" t="str">
        <f>'LIBERAÇÕES'!K2</f>
        <v>DEAD LINE</v>
      </c>
      <c r="C6" s="21" t="s">
        <v>5633</v>
      </c>
      <c r="D6" s="22" t="str">
        <f>D4-D5</f>
        <v>#VALUE!</v>
      </c>
      <c r="E6" s="17" t="str">
        <f>'LIBERAÇÕES'!H2</f>
        <v>FRETE
EMP.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1</v>
      </c>
      <c r="B7" s="23" t="s">
        <v>5634</v>
      </c>
      <c r="C7" s="23" t="s">
        <v>5635</v>
      </c>
      <c r="D7" s="23" t="s">
        <v>5636</v>
      </c>
      <c r="E7" s="24" t="s">
        <v>5637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5"/>
      <c r="B8" s="26"/>
      <c r="C8" s="25"/>
      <c r="D8" s="27"/>
      <c r="E8" s="2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5"/>
      <c r="B9" s="29"/>
      <c r="C9" s="25"/>
      <c r="D9" s="27"/>
      <c r="E9" s="2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25"/>
      <c r="B10" s="30"/>
      <c r="C10" s="25"/>
      <c r="D10" s="27"/>
      <c r="E10" s="2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5"/>
      <c r="B11" s="31"/>
      <c r="C11" s="25"/>
      <c r="D11" s="27"/>
      <c r="E11" s="2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5"/>
      <c r="B12" s="29"/>
      <c r="C12" s="25"/>
      <c r="D12" s="27"/>
      <c r="E12" s="2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25"/>
      <c r="B13" s="29"/>
      <c r="C13" s="25"/>
      <c r="D13" s="27"/>
      <c r="E13" s="2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25"/>
      <c r="B14" s="32"/>
      <c r="C14" s="25"/>
      <c r="D14" s="27"/>
      <c r="E14" s="3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5"/>
      <c r="B15" s="31"/>
      <c r="C15" s="34"/>
      <c r="D15" s="35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5"/>
      <c r="B16" s="31"/>
      <c r="C16" s="34"/>
      <c r="D16" s="35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25"/>
      <c r="B17" s="31"/>
      <c r="C17" s="34"/>
      <c r="D17" s="35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5"/>
      <c r="B18" s="31"/>
      <c r="C18" s="34"/>
      <c r="D18" s="35"/>
      <c r="E18" s="36"/>
      <c r="F18" s="1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5"/>
      <c r="B19" s="37"/>
      <c r="C19" s="34"/>
      <c r="D19" s="35"/>
      <c r="E19" s="36"/>
      <c r="F19" s="1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5"/>
      <c r="B20" s="37"/>
      <c r="C20" s="34"/>
      <c r="D20" s="35"/>
      <c r="E20" s="36"/>
      <c r="F20" s="1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5"/>
      <c r="B21" s="37"/>
      <c r="C21" s="34"/>
      <c r="D21" s="35"/>
      <c r="E21" s="36"/>
      <c r="F21" s="1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5"/>
      <c r="B22" s="37"/>
      <c r="C22" s="34"/>
      <c r="D22" s="35"/>
      <c r="E22" s="36"/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25"/>
      <c r="B23" s="38"/>
      <c r="C23" s="34"/>
      <c r="D23" s="35"/>
      <c r="E23" s="36"/>
      <c r="F23" s="1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25"/>
      <c r="B24" s="37"/>
      <c r="C24" s="34"/>
      <c r="D24" s="35"/>
      <c r="E24" s="36"/>
      <c r="F24" s="1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5"/>
      <c r="B25" s="38"/>
      <c r="C25" s="34"/>
      <c r="D25" s="35"/>
      <c r="E25" s="36"/>
      <c r="F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5"/>
      <c r="B26" s="38"/>
      <c r="C26" s="34"/>
      <c r="D26" s="35"/>
      <c r="E26" s="36"/>
      <c r="F26" s="1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25"/>
      <c r="B27" s="38"/>
      <c r="C27" s="34"/>
      <c r="D27" s="35"/>
      <c r="E27" s="36"/>
      <c r="F27" s="1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5"/>
      <c r="B28" s="38"/>
      <c r="C28" s="34"/>
      <c r="D28" s="35"/>
      <c r="E28" s="36"/>
      <c r="F28" s="39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5"/>
      <c r="Y28" s="5"/>
      <c r="Z28" s="5"/>
    </row>
    <row r="29" ht="14.25" customHeight="1">
      <c r="A29" s="25"/>
      <c r="B29" s="41"/>
      <c r="C29" s="34"/>
      <c r="D29" s="35"/>
      <c r="E29" s="36"/>
      <c r="F29" s="39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5"/>
      <c r="Y29" s="5"/>
      <c r="Z29" s="5"/>
    </row>
    <row r="30" ht="14.25" customHeight="1">
      <c r="A30" s="25"/>
      <c r="B30" s="38"/>
      <c r="C30" s="34"/>
      <c r="D30" s="35"/>
      <c r="E30" s="36"/>
      <c r="F30" s="39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5"/>
      <c r="Y30" s="5"/>
      <c r="Z30" s="5"/>
    </row>
    <row r="31" ht="14.25" customHeight="1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31:W31"/>
  </mergeCells>
  <conditionalFormatting sqref="E2">
    <cfRule type="cellIs" dxfId="0" priority="1" operator="between">
      <formula>6</formula>
      <formula>9</formula>
    </cfRule>
  </conditionalFormatting>
  <conditionalFormatting sqref="E2">
    <cfRule type="cellIs" dxfId="1" priority="2" operator="lessThanOrEqual">
      <formula>5</formula>
    </cfRule>
  </conditionalFormatting>
  <conditionalFormatting sqref="E2">
    <cfRule type="cellIs" dxfId="2" priority="3" operator="greaterThanOrEqual">
      <formula>10</formula>
    </cfRule>
  </conditionalFormatting>
  <dataValidations>
    <dataValidation type="list" allowBlank="1" showErrorMessage="1" sqref="A8:A30">
      <formula1>BASE!$C$2:$C$16</formula1>
    </dataValidation>
    <dataValidation type="list" allowBlank="1" showErrorMessage="1" sqref="C8:C30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14.57"/>
    <col customWidth="1" min="2" max="2" width="16.14"/>
    <col customWidth="1" min="3" max="3" width="18.29"/>
    <col customWidth="1" min="4" max="4" width="29.0"/>
    <col customWidth="1" min="5" max="5" width="26.57"/>
    <col customWidth="1" min="6" max="6" width="24.14"/>
    <col customWidth="1" min="7" max="7" width="21.57"/>
    <col customWidth="1" min="8" max="8" width="15.43"/>
    <col customWidth="1" min="9" max="9" width="13.29"/>
    <col customWidth="1" min="10" max="10" width="34.57"/>
    <col customWidth="1" min="11" max="11" width="14.29"/>
    <col customWidth="1" min="12" max="12" width="12.29"/>
    <col customWidth="1" min="13" max="13" width="14.29"/>
    <col customWidth="1" min="14" max="14" width="23.43"/>
    <col customWidth="1" min="15" max="15" width="16.71"/>
    <col customWidth="1" min="16" max="16" width="21.29"/>
    <col customWidth="1" min="17" max="17" width="44.71"/>
    <col customWidth="1" min="18" max="18" width="8.71"/>
    <col customWidth="1" min="19" max="19" width="12.0"/>
    <col customWidth="1" min="20" max="29" width="8.71"/>
  </cols>
  <sheetData>
    <row r="1" ht="14.25" customHeight="1">
      <c r="A1" s="46"/>
      <c r="B1" s="46"/>
      <c r="C1" s="46"/>
      <c r="D1" s="47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8"/>
      <c r="S1" s="49"/>
      <c r="T1" s="50"/>
      <c r="U1" s="51"/>
      <c r="V1" s="48"/>
      <c r="W1" s="48"/>
      <c r="X1" s="48"/>
      <c r="Y1" s="48"/>
      <c r="Z1" s="48"/>
      <c r="AA1" s="48"/>
      <c r="AB1" s="48"/>
      <c r="AC1" s="48"/>
    </row>
    <row r="2" ht="14.25" customHeight="1">
      <c r="A2" s="52" t="s">
        <v>5638</v>
      </c>
      <c r="B2" s="52" t="s">
        <v>5639</v>
      </c>
      <c r="C2" s="52" t="s">
        <v>5640</v>
      </c>
      <c r="D2" s="53" t="s">
        <v>5641</v>
      </c>
      <c r="E2" s="52" t="s">
        <v>3</v>
      </c>
      <c r="F2" s="54" t="s">
        <v>5642</v>
      </c>
      <c r="G2" s="52" t="s">
        <v>5643</v>
      </c>
      <c r="H2" s="52" t="s">
        <v>5644</v>
      </c>
      <c r="I2" s="52" t="s">
        <v>5645</v>
      </c>
      <c r="J2" s="52" t="s">
        <v>5646</v>
      </c>
      <c r="K2" s="52" t="s">
        <v>5647</v>
      </c>
      <c r="L2" s="52" t="s">
        <v>5648</v>
      </c>
      <c r="M2" s="52" t="s">
        <v>5649</v>
      </c>
      <c r="N2" s="52" t="s">
        <v>5650</v>
      </c>
      <c r="O2" s="52" t="s">
        <v>17</v>
      </c>
      <c r="P2" s="52" t="s">
        <v>5651</v>
      </c>
      <c r="Q2" s="52" t="s">
        <v>5652</v>
      </c>
      <c r="R2" s="55"/>
      <c r="S2" s="56" t="s">
        <v>5653</v>
      </c>
      <c r="T2" s="57">
        <f>I90</f>
        <v>64100</v>
      </c>
      <c r="U2" s="58">
        <f>1</f>
        <v>1</v>
      </c>
      <c r="V2" s="59"/>
      <c r="W2" s="48"/>
      <c r="X2" s="48"/>
      <c r="Y2" s="48"/>
      <c r="Z2" s="48"/>
      <c r="AA2" s="48"/>
      <c r="AB2" s="48"/>
      <c r="AC2" s="48"/>
    </row>
    <row r="3" ht="14.25" customHeight="1">
      <c r="A3" s="60">
        <f t="shared" ref="A3:A67" si="1">TODAY()</f>
        <v>46142</v>
      </c>
      <c r="B3" s="61">
        <v>46042.0</v>
      </c>
      <c r="C3" s="62" t="s">
        <v>16</v>
      </c>
      <c r="D3" s="62" t="s">
        <v>4090</v>
      </c>
      <c r="E3" s="62" t="s">
        <v>3466</v>
      </c>
      <c r="F3" s="63" t="s">
        <v>5654</v>
      </c>
      <c r="G3" s="64" t="s">
        <v>4630</v>
      </c>
      <c r="H3" s="65">
        <v>492.0</v>
      </c>
      <c r="I3" s="66">
        <v>1512.0</v>
      </c>
      <c r="J3" s="67"/>
      <c r="K3" s="68">
        <v>46062.0</v>
      </c>
      <c r="L3" s="69">
        <f t="shared" ref="L3:L84" si="2">K3-A3</f>
        <v>-80</v>
      </c>
      <c r="M3" s="63" t="s">
        <v>5655</v>
      </c>
      <c r="N3" s="62" t="s">
        <v>5656</v>
      </c>
      <c r="O3" s="69">
        <f>SUM('PRIMAVERA DO LESTE'!E7:E15)</f>
        <v>1512</v>
      </c>
      <c r="P3" s="70">
        <f t="shared" ref="P3:P84" si="3">I3-O3</f>
        <v>0</v>
      </c>
      <c r="Q3" s="71"/>
      <c r="R3" s="55"/>
      <c r="S3" s="56" t="s">
        <v>17</v>
      </c>
      <c r="T3" s="72" t="str">
        <f>O90</f>
        <v>#REF!</v>
      </c>
      <c r="U3" s="73" t="str">
        <f>O90/I90</f>
        <v>#REF!</v>
      </c>
      <c r="V3" s="59"/>
      <c r="W3" s="48"/>
      <c r="X3" s="48"/>
      <c r="Y3" s="48"/>
      <c r="Z3" s="48"/>
      <c r="AA3" s="48"/>
      <c r="AB3" s="48"/>
      <c r="AC3" s="48"/>
    </row>
    <row r="4" ht="14.25" customHeight="1">
      <c r="A4" s="60">
        <f t="shared" si="1"/>
        <v>46142</v>
      </c>
      <c r="B4" s="61">
        <v>46059.0</v>
      </c>
      <c r="C4" s="62" t="s">
        <v>36</v>
      </c>
      <c r="D4" s="62" t="s">
        <v>2845</v>
      </c>
      <c r="E4" s="62" t="s">
        <v>2845</v>
      </c>
      <c r="F4" s="63" t="s">
        <v>5657</v>
      </c>
      <c r="G4" s="62" t="s">
        <v>4630</v>
      </c>
      <c r="H4" s="65">
        <v>670.0</v>
      </c>
      <c r="I4" s="66">
        <v>1206.0</v>
      </c>
      <c r="J4" s="63" t="s">
        <v>5658</v>
      </c>
      <c r="K4" s="68">
        <v>46069.0</v>
      </c>
      <c r="L4" s="69">
        <f t="shared" si="2"/>
        <v>-73</v>
      </c>
      <c r="M4" s="63" t="s">
        <v>5659</v>
      </c>
      <c r="N4" s="62" t="s">
        <v>5656</v>
      </c>
      <c r="O4" s="74">
        <f>'LUCAS DO RIO VERDE'!D4</f>
        <v>1206</v>
      </c>
      <c r="P4" s="70">
        <f t="shared" si="3"/>
        <v>0</v>
      </c>
      <c r="Q4" s="71"/>
      <c r="R4" s="55"/>
      <c r="S4" s="56" t="s">
        <v>5660</v>
      </c>
      <c r="T4" s="72" t="str">
        <f>P90</f>
        <v>#REF!</v>
      </c>
      <c r="U4" s="73" t="str">
        <f>P90/I90</f>
        <v>#REF!</v>
      </c>
      <c r="V4" s="59"/>
      <c r="W4" s="48"/>
      <c r="X4" s="48"/>
      <c r="Y4" s="48"/>
      <c r="Z4" s="48"/>
      <c r="AA4" s="48"/>
      <c r="AB4" s="48"/>
      <c r="AC4" s="48"/>
    </row>
    <row r="5" ht="14.25" customHeight="1">
      <c r="A5" s="60">
        <f t="shared" si="1"/>
        <v>46142</v>
      </c>
      <c r="B5" s="61">
        <v>46059.0</v>
      </c>
      <c r="C5" s="62" t="s">
        <v>36</v>
      </c>
      <c r="D5" s="62" t="s">
        <v>2845</v>
      </c>
      <c r="E5" s="62" t="s">
        <v>2845</v>
      </c>
      <c r="F5" s="63" t="s">
        <v>5657</v>
      </c>
      <c r="G5" s="62" t="s">
        <v>1535</v>
      </c>
      <c r="H5" s="65">
        <v>670.0</v>
      </c>
      <c r="I5" s="66">
        <v>169.0</v>
      </c>
      <c r="J5" s="63" t="s">
        <v>5661</v>
      </c>
      <c r="K5" s="68">
        <v>46066.0</v>
      </c>
      <c r="L5" s="69">
        <f t="shared" si="2"/>
        <v>-76</v>
      </c>
      <c r="M5" s="63" t="s">
        <v>5662</v>
      </c>
      <c r="N5" s="62" t="s">
        <v>5656</v>
      </c>
      <c r="O5" s="66">
        <v>169.0</v>
      </c>
      <c r="P5" s="70">
        <f t="shared" si="3"/>
        <v>0</v>
      </c>
      <c r="Q5" s="71"/>
      <c r="R5" s="48"/>
      <c r="S5" s="75"/>
      <c r="T5" s="75"/>
      <c r="U5" s="75"/>
      <c r="V5" s="48"/>
      <c r="W5" s="48"/>
      <c r="X5" s="48"/>
      <c r="Y5" s="48"/>
      <c r="Z5" s="48"/>
      <c r="AA5" s="48"/>
      <c r="AB5" s="48"/>
      <c r="AC5" s="48"/>
    </row>
    <row r="6" ht="14.25" customHeight="1">
      <c r="A6" s="60">
        <f t="shared" si="1"/>
        <v>46142</v>
      </c>
      <c r="B6" s="61">
        <v>46059.0</v>
      </c>
      <c r="C6" s="62" t="s">
        <v>36</v>
      </c>
      <c r="D6" s="62" t="s">
        <v>2845</v>
      </c>
      <c r="E6" s="62" t="s">
        <v>2845</v>
      </c>
      <c r="F6" s="63" t="s">
        <v>5663</v>
      </c>
      <c r="G6" s="62" t="s">
        <v>1535</v>
      </c>
      <c r="H6" s="65">
        <v>670.0</v>
      </c>
      <c r="I6" s="66">
        <v>0.0</v>
      </c>
      <c r="J6" s="63" t="s">
        <v>5664</v>
      </c>
      <c r="K6" s="68">
        <v>46066.0</v>
      </c>
      <c r="L6" s="69">
        <f t="shared" si="2"/>
        <v>-76</v>
      </c>
      <c r="M6" s="63" t="s">
        <v>5665</v>
      </c>
      <c r="N6" s="62" t="s">
        <v>5666</v>
      </c>
      <c r="O6" s="76">
        <f>'LUCAS DO RIO VERDE'!D26</f>
        <v>0</v>
      </c>
      <c r="P6" s="70">
        <f t="shared" si="3"/>
        <v>0</v>
      </c>
      <c r="Q6" s="71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14.25" customHeight="1">
      <c r="A7" s="60">
        <f t="shared" si="1"/>
        <v>46142</v>
      </c>
      <c r="B7" s="61">
        <v>46059.0</v>
      </c>
      <c r="C7" s="62" t="s">
        <v>36</v>
      </c>
      <c r="D7" s="62" t="s">
        <v>2845</v>
      </c>
      <c r="E7" s="62" t="s">
        <v>2845</v>
      </c>
      <c r="F7" s="63" t="s">
        <v>5663</v>
      </c>
      <c r="G7" s="62" t="s">
        <v>1535</v>
      </c>
      <c r="H7" s="65">
        <v>670.0</v>
      </c>
      <c r="I7" s="66">
        <v>7667.0</v>
      </c>
      <c r="J7" s="63" t="s">
        <v>5667</v>
      </c>
      <c r="K7" s="68">
        <v>46069.0</v>
      </c>
      <c r="L7" s="69">
        <f t="shared" si="2"/>
        <v>-73</v>
      </c>
      <c r="M7" s="63" t="s">
        <v>5662</v>
      </c>
      <c r="N7" s="62" t="s">
        <v>5666</v>
      </c>
      <c r="O7" s="76">
        <f>'LUCAS DO RIO VERDE'!D35</f>
        <v>7667</v>
      </c>
      <c r="P7" s="70">
        <f t="shared" si="3"/>
        <v>0</v>
      </c>
      <c r="Q7" s="71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</row>
    <row r="8" ht="14.25" customHeight="1">
      <c r="A8" s="60">
        <f t="shared" si="1"/>
        <v>46142</v>
      </c>
      <c r="B8" s="61">
        <v>46059.0</v>
      </c>
      <c r="C8" s="62" t="s">
        <v>36</v>
      </c>
      <c r="D8" s="62" t="s">
        <v>2845</v>
      </c>
      <c r="E8" s="62" t="s">
        <v>2845</v>
      </c>
      <c r="F8" s="63" t="s">
        <v>5663</v>
      </c>
      <c r="G8" s="62" t="s">
        <v>4630</v>
      </c>
      <c r="H8" s="65">
        <v>670.0</v>
      </c>
      <c r="I8" s="66">
        <v>3477.0</v>
      </c>
      <c r="J8" s="63" t="s">
        <v>5668</v>
      </c>
      <c r="K8" s="68">
        <v>46069.0</v>
      </c>
      <c r="L8" s="69">
        <f t="shared" si="2"/>
        <v>-73</v>
      </c>
      <c r="M8" s="63" t="s">
        <v>5669</v>
      </c>
      <c r="N8" s="62" t="s">
        <v>5666</v>
      </c>
      <c r="O8" s="76">
        <f>'LUCAS DO RIO VERDE'!D85</f>
        <v>3477</v>
      </c>
      <c r="P8" s="70">
        <f t="shared" si="3"/>
        <v>0</v>
      </c>
      <c r="Q8" s="71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</row>
    <row r="9" ht="14.25" customHeight="1">
      <c r="A9" s="60">
        <f t="shared" si="1"/>
        <v>46142</v>
      </c>
      <c r="B9" s="61">
        <v>46059.0</v>
      </c>
      <c r="C9" s="62" t="s">
        <v>3492</v>
      </c>
      <c r="D9" s="62" t="s">
        <v>4978</v>
      </c>
      <c r="E9" s="62" t="s">
        <v>4978</v>
      </c>
      <c r="F9" s="63" t="s">
        <v>5670</v>
      </c>
      <c r="G9" s="62" t="s">
        <v>4324</v>
      </c>
      <c r="H9" s="65">
        <v>270.0</v>
      </c>
      <c r="I9" s="66">
        <v>110.0</v>
      </c>
      <c r="J9" s="63" t="s">
        <v>5671</v>
      </c>
      <c r="K9" s="68">
        <v>46069.0</v>
      </c>
      <c r="L9" s="69">
        <f t="shared" si="2"/>
        <v>-73</v>
      </c>
      <c r="M9" s="63" t="s">
        <v>5672</v>
      </c>
      <c r="N9" s="62" t="s">
        <v>5666</v>
      </c>
      <c r="O9" s="76">
        <f>SAPEZAL!D4</f>
        <v>110</v>
      </c>
      <c r="P9" s="70">
        <f t="shared" si="3"/>
        <v>0</v>
      </c>
      <c r="Q9" s="71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ht="14.25" customHeight="1">
      <c r="A10" s="60">
        <f t="shared" si="1"/>
        <v>46142</v>
      </c>
      <c r="B10" s="61">
        <v>46059.0</v>
      </c>
      <c r="C10" s="62" t="s">
        <v>3492</v>
      </c>
      <c r="D10" s="62" t="s">
        <v>4978</v>
      </c>
      <c r="E10" s="62" t="s">
        <v>4978</v>
      </c>
      <c r="F10" s="63" t="s">
        <v>5673</v>
      </c>
      <c r="G10" s="62" t="s">
        <v>4324</v>
      </c>
      <c r="H10" s="65">
        <v>270.0</v>
      </c>
      <c r="I10" s="66">
        <v>440.0</v>
      </c>
      <c r="J10" s="63" t="s">
        <v>5671</v>
      </c>
      <c r="K10" s="68">
        <v>46069.0</v>
      </c>
      <c r="L10" s="69">
        <f t="shared" si="2"/>
        <v>-73</v>
      </c>
      <c r="M10" s="63" t="s">
        <v>5672</v>
      </c>
      <c r="N10" s="62" t="s">
        <v>5666</v>
      </c>
      <c r="O10" s="76">
        <f>SAPEZAL!D12</f>
        <v>440</v>
      </c>
      <c r="P10" s="70">
        <f t="shared" si="3"/>
        <v>0</v>
      </c>
      <c r="Q10" s="71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ht="14.25" customHeight="1">
      <c r="A11" s="60">
        <f t="shared" si="1"/>
        <v>46142</v>
      </c>
      <c r="B11" s="61">
        <v>46059.0</v>
      </c>
      <c r="C11" s="62" t="s">
        <v>36</v>
      </c>
      <c r="D11" s="62" t="s">
        <v>2845</v>
      </c>
      <c r="E11" s="62" t="s">
        <v>2845</v>
      </c>
      <c r="F11" s="63" t="s">
        <v>5663</v>
      </c>
      <c r="G11" s="62" t="s">
        <v>4630</v>
      </c>
      <c r="H11" s="65">
        <v>670.0</v>
      </c>
      <c r="I11" s="66">
        <v>156.0</v>
      </c>
      <c r="J11" s="63" t="s">
        <v>5674</v>
      </c>
      <c r="K11" s="68">
        <v>46069.0</v>
      </c>
      <c r="L11" s="69">
        <f t="shared" si="2"/>
        <v>-73</v>
      </c>
      <c r="M11" s="63" t="s">
        <v>5675</v>
      </c>
      <c r="N11" s="62" t="s">
        <v>5666</v>
      </c>
      <c r="O11" s="76">
        <f>'LUCAS DO RIO VERDE'!D114</f>
        <v>156</v>
      </c>
      <c r="P11" s="70">
        <f t="shared" si="3"/>
        <v>0</v>
      </c>
      <c r="Q11" s="71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ht="14.25" customHeight="1">
      <c r="A12" s="60">
        <f t="shared" si="1"/>
        <v>46142</v>
      </c>
      <c r="B12" s="61">
        <v>46058.0</v>
      </c>
      <c r="C12" s="62" t="s">
        <v>52</v>
      </c>
      <c r="D12" s="62" t="s">
        <v>5112</v>
      </c>
      <c r="E12" s="62" t="s">
        <v>5158</v>
      </c>
      <c r="F12" s="63" t="s">
        <v>5676</v>
      </c>
      <c r="G12" s="62" t="s">
        <v>4324</v>
      </c>
      <c r="H12" s="65">
        <v>360.0</v>
      </c>
      <c r="I12" s="66">
        <v>1980.0</v>
      </c>
      <c r="J12" s="63" t="s">
        <v>5677</v>
      </c>
      <c r="K12" s="68">
        <v>46081.0</v>
      </c>
      <c r="L12" s="69">
        <f t="shared" si="2"/>
        <v>-61</v>
      </c>
      <c r="M12" s="63" t="s">
        <v>5678</v>
      </c>
      <c r="N12" s="62" t="s">
        <v>5666</v>
      </c>
      <c r="O12" s="76">
        <f>SINOP!D4</f>
        <v>1980</v>
      </c>
      <c r="P12" s="70">
        <f t="shared" si="3"/>
        <v>0</v>
      </c>
      <c r="Q12" s="71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 ht="14.25" customHeight="1">
      <c r="A13" s="60">
        <f t="shared" si="1"/>
        <v>46142</v>
      </c>
      <c r="B13" s="61">
        <v>46058.0</v>
      </c>
      <c r="C13" s="62" t="s">
        <v>52</v>
      </c>
      <c r="D13" s="62" t="s">
        <v>2845</v>
      </c>
      <c r="E13" s="62" t="s">
        <v>2845</v>
      </c>
      <c r="F13" s="63" t="s">
        <v>5679</v>
      </c>
      <c r="G13" s="62" t="s">
        <v>4324</v>
      </c>
      <c r="H13" s="65">
        <v>280.0</v>
      </c>
      <c r="I13" s="66">
        <v>145.0</v>
      </c>
      <c r="J13" s="63" t="s">
        <v>5680</v>
      </c>
      <c r="K13" s="68">
        <v>46081.0</v>
      </c>
      <c r="L13" s="69">
        <f t="shared" si="2"/>
        <v>-61</v>
      </c>
      <c r="M13" s="63" t="s">
        <v>5678</v>
      </c>
      <c r="N13" s="62" t="s">
        <v>5666</v>
      </c>
      <c r="O13" s="76">
        <f>'LUCAS DO RIO VERDE'!D124</f>
        <v>145</v>
      </c>
      <c r="P13" s="70">
        <f t="shared" si="3"/>
        <v>0</v>
      </c>
      <c r="Q13" s="71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ht="14.25" customHeight="1">
      <c r="A14" s="77">
        <f t="shared" si="1"/>
        <v>46142</v>
      </c>
      <c r="B14" s="78">
        <v>46045.0</v>
      </c>
      <c r="C14" s="79" t="s">
        <v>52</v>
      </c>
      <c r="D14" s="79" t="s">
        <v>2845</v>
      </c>
      <c r="E14" s="79" t="s">
        <v>2845</v>
      </c>
      <c r="F14" s="80" t="s">
        <v>5681</v>
      </c>
      <c r="G14" s="79" t="s">
        <v>2079</v>
      </c>
      <c r="H14" s="81">
        <v>650.0</v>
      </c>
      <c r="I14" s="82">
        <v>450.0</v>
      </c>
      <c r="J14" s="80" t="s">
        <v>5682</v>
      </c>
      <c r="K14" s="83">
        <v>46090.0</v>
      </c>
      <c r="L14" s="84">
        <f t="shared" si="2"/>
        <v>-52</v>
      </c>
      <c r="M14" s="80" t="s">
        <v>5683</v>
      </c>
      <c r="N14" s="79" t="s">
        <v>5656</v>
      </c>
      <c r="O14" s="85">
        <f>'LUCAS DO RIO VERDE'!D137</f>
        <v>0</v>
      </c>
      <c r="P14" s="86">
        <f t="shared" si="3"/>
        <v>450</v>
      </c>
      <c r="Q14" s="87" t="s">
        <v>5684</v>
      </c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 ht="14.25" customHeight="1">
      <c r="A15" s="88">
        <f t="shared" si="1"/>
        <v>46142</v>
      </c>
      <c r="B15" s="89">
        <v>46045.0</v>
      </c>
      <c r="C15" s="90" t="s">
        <v>52</v>
      </c>
      <c r="D15" s="90" t="s">
        <v>5112</v>
      </c>
      <c r="E15" s="90" t="s">
        <v>2281</v>
      </c>
      <c r="F15" s="91" t="s">
        <v>5685</v>
      </c>
      <c r="G15" s="90" t="s">
        <v>2079</v>
      </c>
      <c r="H15" s="92">
        <v>650.0</v>
      </c>
      <c r="I15" s="93">
        <v>264.0</v>
      </c>
      <c r="J15" s="91" t="s">
        <v>5682</v>
      </c>
      <c r="K15" s="94">
        <v>46090.0</v>
      </c>
      <c r="L15" s="95">
        <f t="shared" si="2"/>
        <v>-52</v>
      </c>
      <c r="M15" s="91" t="s">
        <v>5683</v>
      </c>
      <c r="N15" s="90" t="s">
        <v>5656</v>
      </c>
      <c r="O15" s="96">
        <f>SINOP!D73</f>
        <v>775</v>
      </c>
      <c r="P15" s="97">
        <f t="shared" si="3"/>
        <v>-511</v>
      </c>
      <c r="Q15" s="98" t="s">
        <v>5684</v>
      </c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ht="14.25" customHeight="1">
      <c r="A16" s="60">
        <f t="shared" si="1"/>
        <v>46142</v>
      </c>
      <c r="B16" s="61">
        <v>46049.0</v>
      </c>
      <c r="C16" s="62" t="s">
        <v>12</v>
      </c>
      <c r="D16" s="62" t="s">
        <v>2845</v>
      </c>
      <c r="E16" s="62" t="s">
        <v>5214</v>
      </c>
      <c r="F16" s="63" t="s">
        <v>5686</v>
      </c>
      <c r="G16" s="62" t="s">
        <v>2079</v>
      </c>
      <c r="H16" s="65">
        <v>640.0</v>
      </c>
      <c r="I16" s="66">
        <v>200.0</v>
      </c>
      <c r="J16" s="63" t="s">
        <v>5687</v>
      </c>
      <c r="K16" s="68">
        <v>46071.0</v>
      </c>
      <c r="L16" s="69">
        <f t="shared" si="2"/>
        <v>-71</v>
      </c>
      <c r="M16" s="63" t="s">
        <v>5683</v>
      </c>
      <c r="N16" s="62" t="s">
        <v>5656</v>
      </c>
      <c r="O16" s="76">
        <f>'LUCAS DO RIO VERDE'!D147</f>
        <v>200</v>
      </c>
      <c r="P16" s="70">
        <f t="shared" si="3"/>
        <v>0</v>
      </c>
      <c r="Q16" s="71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ht="14.25" customHeight="1">
      <c r="A17" s="60">
        <f t="shared" si="1"/>
        <v>46142</v>
      </c>
      <c r="B17" s="61">
        <v>46049.0</v>
      </c>
      <c r="C17" s="62" t="s">
        <v>12</v>
      </c>
      <c r="D17" s="62" t="s">
        <v>5112</v>
      </c>
      <c r="E17" s="62" t="s">
        <v>4009</v>
      </c>
      <c r="F17" s="63" t="s">
        <v>5688</v>
      </c>
      <c r="G17" s="62" t="s">
        <v>2079</v>
      </c>
      <c r="H17" s="65">
        <v>650.0</v>
      </c>
      <c r="I17" s="66">
        <v>137.0</v>
      </c>
      <c r="J17" s="63" t="s">
        <v>5687</v>
      </c>
      <c r="K17" s="68">
        <v>46071.0</v>
      </c>
      <c r="L17" s="69">
        <f t="shared" si="2"/>
        <v>-71</v>
      </c>
      <c r="M17" s="63" t="s">
        <v>5683</v>
      </c>
      <c r="N17" s="62" t="s">
        <v>5656</v>
      </c>
      <c r="O17" s="76">
        <f>SINOP!D20</f>
        <v>137</v>
      </c>
      <c r="P17" s="70">
        <f t="shared" si="3"/>
        <v>0</v>
      </c>
      <c r="Q17" s="71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ht="14.25" customHeight="1">
      <c r="A18" s="60">
        <f t="shared" si="1"/>
        <v>46142</v>
      </c>
      <c r="B18" s="61">
        <v>46049.0</v>
      </c>
      <c r="C18" s="62" t="s">
        <v>12</v>
      </c>
      <c r="D18" s="62" t="s">
        <v>2845</v>
      </c>
      <c r="E18" s="62" t="s">
        <v>2845</v>
      </c>
      <c r="F18" s="63" t="s">
        <v>5689</v>
      </c>
      <c r="G18" s="62" t="s">
        <v>2079</v>
      </c>
      <c r="H18" s="65">
        <v>630.0</v>
      </c>
      <c r="I18" s="66">
        <v>238.0</v>
      </c>
      <c r="J18" s="63" t="s">
        <v>5687</v>
      </c>
      <c r="K18" s="68">
        <v>46071.0</v>
      </c>
      <c r="L18" s="69">
        <f t="shared" si="2"/>
        <v>-71</v>
      </c>
      <c r="M18" s="63" t="s">
        <v>5683</v>
      </c>
      <c r="N18" s="62" t="s">
        <v>5656</v>
      </c>
      <c r="O18" s="76">
        <f>'LUCAS DO RIO VERDE'!D157</f>
        <v>238</v>
      </c>
      <c r="P18" s="70">
        <f t="shared" si="3"/>
        <v>0</v>
      </c>
      <c r="Q18" s="71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 ht="14.25" customHeight="1">
      <c r="A19" s="60">
        <f t="shared" si="1"/>
        <v>46142</v>
      </c>
      <c r="B19" s="100">
        <v>46049.0</v>
      </c>
      <c r="C19" s="62" t="s">
        <v>12</v>
      </c>
      <c r="D19" s="62" t="s">
        <v>5112</v>
      </c>
      <c r="E19" s="62" t="s">
        <v>2281</v>
      </c>
      <c r="F19" s="63" t="s">
        <v>5690</v>
      </c>
      <c r="G19" s="62" t="s">
        <v>2079</v>
      </c>
      <c r="H19" s="65">
        <v>650.0</v>
      </c>
      <c r="I19" s="66">
        <v>169.0</v>
      </c>
      <c r="J19" s="63" t="s">
        <v>5687</v>
      </c>
      <c r="K19" s="68">
        <v>46071.0</v>
      </c>
      <c r="L19" s="69">
        <f t="shared" si="2"/>
        <v>-71</v>
      </c>
      <c r="M19" s="63" t="s">
        <v>5683</v>
      </c>
      <c r="N19" s="62" t="s">
        <v>5656</v>
      </c>
      <c r="O19" s="76">
        <f>SINOP!D29</f>
        <v>169</v>
      </c>
      <c r="P19" s="70">
        <f t="shared" si="3"/>
        <v>0</v>
      </c>
      <c r="Q19" s="71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 ht="14.25" customHeight="1">
      <c r="A20" s="60">
        <f t="shared" si="1"/>
        <v>46142</v>
      </c>
      <c r="B20" s="61">
        <v>46059.0</v>
      </c>
      <c r="C20" s="62" t="s">
        <v>52</v>
      </c>
      <c r="D20" s="62" t="s">
        <v>5139</v>
      </c>
      <c r="E20" s="62" t="s">
        <v>5139</v>
      </c>
      <c r="F20" s="63" t="s">
        <v>5691</v>
      </c>
      <c r="G20" s="62" t="s">
        <v>3284</v>
      </c>
      <c r="H20" s="65">
        <v>862.0</v>
      </c>
      <c r="I20" s="66">
        <v>686.0</v>
      </c>
      <c r="J20" s="63" t="s">
        <v>5692</v>
      </c>
      <c r="K20" s="68">
        <v>46073.0</v>
      </c>
      <c r="L20" s="69">
        <f t="shared" si="2"/>
        <v>-69</v>
      </c>
      <c r="M20" s="63" t="s">
        <v>5693</v>
      </c>
      <c r="N20" s="62" t="s">
        <v>5656</v>
      </c>
      <c r="O20" s="76">
        <f>SORRISO!D4</f>
        <v>686</v>
      </c>
      <c r="P20" s="70">
        <f t="shared" si="3"/>
        <v>0</v>
      </c>
      <c r="Q20" s="71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 ht="14.25" customHeight="1">
      <c r="A21" s="60">
        <f t="shared" si="1"/>
        <v>46142</v>
      </c>
      <c r="B21" s="61">
        <v>46059.0</v>
      </c>
      <c r="C21" s="62" t="s">
        <v>52</v>
      </c>
      <c r="D21" s="62" t="s">
        <v>2845</v>
      </c>
      <c r="E21" s="62" t="s">
        <v>2845</v>
      </c>
      <c r="F21" s="63" t="s">
        <v>5681</v>
      </c>
      <c r="G21" s="62" t="s">
        <v>3284</v>
      </c>
      <c r="H21" s="65">
        <v>862.0</v>
      </c>
      <c r="I21" s="66">
        <v>300.0</v>
      </c>
      <c r="J21" s="63" t="s">
        <v>5694</v>
      </c>
      <c r="K21" s="68">
        <v>46073.0</v>
      </c>
      <c r="L21" s="69">
        <f t="shared" si="2"/>
        <v>-69</v>
      </c>
      <c r="M21" s="63" t="s">
        <v>5693</v>
      </c>
      <c r="N21" s="62" t="s">
        <v>5656</v>
      </c>
      <c r="O21" s="66">
        <v>300.0</v>
      </c>
      <c r="P21" s="70">
        <f t="shared" si="3"/>
        <v>0</v>
      </c>
      <c r="Q21" s="71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 ht="14.25" customHeight="1">
      <c r="A22" s="60">
        <f t="shared" si="1"/>
        <v>46142</v>
      </c>
      <c r="B22" s="61">
        <v>46059.0</v>
      </c>
      <c r="C22" s="62" t="s">
        <v>36</v>
      </c>
      <c r="D22" s="62" t="s">
        <v>5112</v>
      </c>
      <c r="E22" s="62" t="s">
        <v>2281</v>
      </c>
      <c r="F22" s="63" t="s">
        <v>5695</v>
      </c>
      <c r="G22" s="62" t="s">
        <v>4630</v>
      </c>
      <c r="H22" s="65">
        <v>660.0</v>
      </c>
      <c r="I22" s="66">
        <v>157.0</v>
      </c>
      <c r="J22" s="63" t="s">
        <v>5696</v>
      </c>
      <c r="K22" s="68">
        <v>46069.0</v>
      </c>
      <c r="L22" s="69">
        <f t="shared" si="2"/>
        <v>-73</v>
      </c>
      <c r="M22" s="63" t="s">
        <v>5675</v>
      </c>
      <c r="N22" s="62" t="s">
        <v>5656</v>
      </c>
      <c r="O22" s="76">
        <f>SINOP!D38</f>
        <v>157</v>
      </c>
      <c r="P22" s="70">
        <f t="shared" si="3"/>
        <v>0</v>
      </c>
      <c r="Q22" s="71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 ht="14.25" customHeight="1">
      <c r="A23" s="60">
        <f t="shared" si="1"/>
        <v>46142</v>
      </c>
      <c r="B23" s="61">
        <v>46059.0</v>
      </c>
      <c r="C23" s="62" t="s">
        <v>36</v>
      </c>
      <c r="D23" s="62" t="s">
        <v>2845</v>
      </c>
      <c r="E23" s="62" t="s">
        <v>2845</v>
      </c>
      <c r="F23" s="63" t="s">
        <v>5697</v>
      </c>
      <c r="G23" s="62" t="s">
        <v>1535</v>
      </c>
      <c r="H23" s="65">
        <v>670.0</v>
      </c>
      <c r="I23" s="66">
        <v>331.0</v>
      </c>
      <c r="J23" s="63" t="s">
        <v>5698</v>
      </c>
      <c r="K23" s="68">
        <v>46069.0</v>
      </c>
      <c r="L23" s="69">
        <f t="shared" si="2"/>
        <v>-73</v>
      </c>
      <c r="M23" s="63" t="s">
        <v>5662</v>
      </c>
      <c r="N23" s="62" t="s">
        <v>5656</v>
      </c>
      <c r="O23" s="76">
        <f>'LUCAS DO RIO VERDE'!D174</f>
        <v>331</v>
      </c>
      <c r="P23" s="70">
        <f t="shared" si="3"/>
        <v>0</v>
      </c>
      <c r="Q23" s="71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4.25" customHeight="1">
      <c r="A24" s="60">
        <f t="shared" si="1"/>
        <v>46142</v>
      </c>
      <c r="B24" s="61">
        <v>46045.0</v>
      </c>
      <c r="C24" s="62" t="s">
        <v>36</v>
      </c>
      <c r="D24" s="62" t="s">
        <v>4090</v>
      </c>
      <c r="E24" s="62" t="s">
        <v>4090</v>
      </c>
      <c r="F24" s="63" t="s">
        <v>5699</v>
      </c>
      <c r="G24" s="62" t="s">
        <v>1535</v>
      </c>
      <c r="H24" s="65">
        <v>530.0</v>
      </c>
      <c r="I24" s="66">
        <v>1865.0</v>
      </c>
      <c r="J24" s="63" t="s">
        <v>5700</v>
      </c>
      <c r="K24" s="68">
        <v>46073.0</v>
      </c>
      <c r="L24" s="69">
        <f t="shared" si="2"/>
        <v>-69</v>
      </c>
      <c r="M24" s="63" t="s">
        <v>5662</v>
      </c>
      <c r="N24" s="62" t="s">
        <v>5656</v>
      </c>
      <c r="O24" s="76">
        <f>'PRIMAVERA DO LESTE'!D20</f>
        <v>1865</v>
      </c>
      <c r="P24" s="70">
        <f t="shared" si="3"/>
        <v>0</v>
      </c>
      <c r="Q24" s="71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4.25" customHeight="1">
      <c r="A25" s="60">
        <f t="shared" si="1"/>
        <v>46142</v>
      </c>
      <c r="B25" s="66" t="s">
        <v>5701</v>
      </c>
      <c r="C25" s="62" t="s">
        <v>36</v>
      </c>
      <c r="D25" s="62" t="s">
        <v>4324</v>
      </c>
      <c r="E25" s="62" t="s">
        <v>4324</v>
      </c>
      <c r="F25" s="63" t="s">
        <v>5702</v>
      </c>
      <c r="G25" s="62" t="s">
        <v>2110</v>
      </c>
      <c r="H25" s="65">
        <v>990.0</v>
      </c>
      <c r="I25" s="66">
        <v>128.0</v>
      </c>
      <c r="J25" s="63" t="s">
        <v>5703</v>
      </c>
      <c r="K25" s="68">
        <v>46071.0</v>
      </c>
      <c r="L25" s="69">
        <f t="shared" si="2"/>
        <v>-71</v>
      </c>
      <c r="M25" s="63" t="s">
        <v>5704</v>
      </c>
      <c r="N25" s="62" t="s">
        <v>5666</v>
      </c>
      <c r="O25" s="76">
        <f>RONDONOPOLIS!D4</f>
        <v>128</v>
      </c>
      <c r="P25" s="70">
        <f t="shared" si="3"/>
        <v>0</v>
      </c>
      <c r="Q25" s="71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ht="14.25" customHeight="1">
      <c r="A26" s="60">
        <f t="shared" si="1"/>
        <v>46142</v>
      </c>
      <c r="B26" s="61">
        <v>46064.0</v>
      </c>
      <c r="C26" s="62" t="s">
        <v>36</v>
      </c>
      <c r="D26" s="62" t="s">
        <v>4324</v>
      </c>
      <c r="E26" s="62" t="s">
        <v>4324</v>
      </c>
      <c r="F26" s="63" t="s">
        <v>5702</v>
      </c>
      <c r="G26" s="62" t="s">
        <v>4630</v>
      </c>
      <c r="H26" s="65">
        <v>585.0</v>
      </c>
      <c r="I26" s="66">
        <v>0.0</v>
      </c>
      <c r="J26" s="63" t="s">
        <v>5705</v>
      </c>
      <c r="K26" s="68">
        <v>46071.0</v>
      </c>
      <c r="L26" s="69">
        <f t="shared" si="2"/>
        <v>-71</v>
      </c>
      <c r="M26" s="63" t="s">
        <v>5665</v>
      </c>
      <c r="N26" s="62" t="s">
        <v>5666</v>
      </c>
      <c r="O26" s="76">
        <f>RONDONOPOLIS!D16</f>
        <v>0</v>
      </c>
      <c r="P26" s="70">
        <f t="shared" si="3"/>
        <v>0</v>
      </c>
      <c r="Q26" s="71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 ht="14.25" customHeight="1">
      <c r="A27" s="60">
        <f t="shared" si="1"/>
        <v>46142</v>
      </c>
      <c r="B27" s="61">
        <v>46064.0</v>
      </c>
      <c r="C27" s="62" t="s">
        <v>36</v>
      </c>
      <c r="D27" s="62" t="s">
        <v>4324</v>
      </c>
      <c r="E27" s="62" t="s">
        <v>4324</v>
      </c>
      <c r="F27" s="63" t="s">
        <v>5702</v>
      </c>
      <c r="G27" s="62" t="s">
        <v>2079</v>
      </c>
      <c r="H27" s="65">
        <v>585.0</v>
      </c>
      <c r="I27" s="66">
        <v>0.0</v>
      </c>
      <c r="J27" s="63" t="s">
        <v>5706</v>
      </c>
      <c r="K27" s="68">
        <v>46071.0</v>
      </c>
      <c r="L27" s="69">
        <f t="shared" si="2"/>
        <v>-71</v>
      </c>
      <c r="M27" s="63" t="s">
        <v>5707</v>
      </c>
      <c r="N27" s="62" t="s">
        <v>5666</v>
      </c>
      <c r="O27" s="76">
        <f>RONDONOPOLIS!D33</f>
        <v>0</v>
      </c>
      <c r="P27" s="70">
        <f t="shared" si="3"/>
        <v>0</v>
      </c>
      <c r="Q27" s="71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 ht="14.25" customHeight="1">
      <c r="A28" s="60">
        <f t="shared" si="1"/>
        <v>46142</v>
      </c>
      <c r="B28" s="61">
        <v>46064.0</v>
      </c>
      <c r="C28" s="62" t="s">
        <v>36</v>
      </c>
      <c r="D28" s="62" t="s">
        <v>4324</v>
      </c>
      <c r="E28" s="62" t="s">
        <v>4324</v>
      </c>
      <c r="F28" s="63" t="s">
        <v>5702</v>
      </c>
      <c r="G28" s="62" t="s">
        <v>1535</v>
      </c>
      <c r="H28" s="65">
        <v>585.0</v>
      </c>
      <c r="I28" s="66">
        <v>2168.0</v>
      </c>
      <c r="J28" s="63" t="s">
        <v>5708</v>
      </c>
      <c r="K28" s="68">
        <v>46071.0</v>
      </c>
      <c r="L28" s="69">
        <f t="shared" si="2"/>
        <v>-71</v>
      </c>
      <c r="M28" s="63" t="s">
        <v>5662</v>
      </c>
      <c r="N28" s="62" t="s">
        <v>5666</v>
      </c>
      <c r="O28" s="76">
        <f>RONDONOPOLIS!D50</f>
        <v>2168</v>
      </c>
      <c r="P28" s="70">
        <f t="shared" si="3"/>
        <v>0</v>
      </c>
      <c r="Q28" s="71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 ht="14.25" customHeight="1">
      <c r="A29" s="60">
        <f t="shared" si="1"/>
        <v>46142</v>
      </c>
      <c r="B29" s="61">
        <v>46064.0</v>
      </c>
      <c r="C29" s="62" t="s">
        <v>16</v>
      </c>
      <c r="D29" s="62" t="s">
        <v>4090</v>
      </c>
      <c r="E29" s="62" t="s">
        <v>3466</v>
      </c>
      <c r="F29" s="63" t="s">
        <v>5654</v>
      </c>
      <c r="G29" s="62" t="s">
        <v>2079</v>
      </c>
      <c r="H29" s="65">
        <v>570.0</v>
      </c>
      <c r="I29" s="66">
        <v>718.0</v>
      </c>
      <c r="J29" s="63" t="s">
        <v>5709</v>
      </c>
      <c r="K29" s="68">
        <v>46077.0</v>
      </c>
      <c r="L29" s="69">
        <f t="shared" si="2"/>
        <v>-65</v>
      </c>
      <c r="M29" s="63" t="s">
        <v>5707</v>
      </c>
      <c r="N29" s="62" t="s">
        <v>5656</v>
      </c>
      <c r="O29" s="76">
        <f>'PRIMAVERA DO LESTE'!D39</f>
        <v>718</v>
      </c>
      <c r="P29" s="70">
        <f t="shared" si="3"/>
        <v>0</v>
      </c>
      <c r="Q29" s="71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 ht="14.25" customHeight="1">
      <c r="A30" s="60">
        <f t="shared" si="1"/>
        <v>46142</v>
      </c>
      <c r="B30" s="61">
        <v>46067.0</v>
      </c>
      <c r="C30" s="62" t="s">
        <v>36</v>
      </c>
      <c r="D30" s="62" t="s">
        <v>4978</v>
      </c>
      <c r="E30" s="62" t="s">
        <v>4978</v>
      </c>
      <c r="F30" s="63" t="s">
        <v>5710</v>
      </c>
      <c r="G30" s="62" t="s">
        <v>4630</v>
      </c>
      <c r="H30" s="65">
        <v>727.0</v>
      </c>
      <c r="I30" s="66">
        <v>863.0</v>
      </c>
      <c r="J30" s="63" t="s">
        <v>5711</v>
      </c>
      <c r="K30" s="68">
        <v>46081.0</v>
      </c>
      <c r="L30" s="69">
        <f t="shared" si="2"/>
        <v>-61</v>
      </c>
      <c r="M30" s="63"/>
      <c r="N30" s="62" t="s">
        <v>5656</v>
      </c>
      <c r="O30" s="76">
        <f>SAPEZAL!D21</f>
        <v>863</v>
      </c>
      <c r="P30" s="70">
        <f t="shared" si="3"/>
        <v>0</v>
      </c>
      <c r="Q30" s="71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ht="14.25" customHeight="1">
      <c r="A31" s="60">
        <f t="shared" si="1"/>
        <v>46142</v>
      </c>
      <c r="B31" s="61">
        <v>46076.0</v>
      </c>
      <c r="C31" s="62" t="s">
        <v>44</v>
      </c>
      <c r="D31" s="62" t="s">
        <v>4978</v>
      </c>
      <c r="E31" s="62" t="s">
        <v>4978</v>
      </c>
      <c r="F31" s="63" t="s">
        <v>5670</v>
      </c>
      <c r="G31" s="62" t="s">
        <v>4630</v>
      </c>
      <c r="H31" s="65">
        <v>660.0</v>
      </c>
      <c r="I31" s="66">
        <v>220.0</v>
      </c>
      <c r="J31" s="63" t="s">
        <v>5712</v>
      </c>
      <c r="K31" s="68">
        <v>46084.0</v>
      </c>
      <c r="L31" s="69">
        <f t="shared" si="2"/>
        <v>-58</v>
      </c>
      <c r="M31" s="63" t="s">
        <v>5713</v>
      </c>
      <c r="N31" s="62" t="s">
        <v>5666</v>
      </c>
      <c r="O31" s="76">
        <f>SAPEZAL!D34</f>
        <v>220</v>
      </c>
      <c r="P31" s="70">
        <f t="shared" si="3"/>
        <v>0</v>
      </c>
      <c r="Q31" s="71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4.25" customHeight="1">
      <c r="A32" s="60">
        <f t="shared" si="1"/>
        <v>46142</v>
      </c>
      <c r="B32" s="61">
        <v>46076.0</v>
      </c>
      <c r="C32" s="62" t="s">
        <v>44</v>
      </c>
      <c r="D32" s="62" t="s">
        <v>4978</v>
      </c>
      <c r="E32" s="62" t="s">
        <v>4978</v>
      </c>
      <c r="F32" s="63" t="s">
        <v>5670</v>
      </c>
      <c r="G32" s="62" t="s">
        <v>4630</v>
      </c>
      <c r="H32" s="65">
        <v>660.0</v>
      </c>
      <c r="I32" s="66">
        <v>880.0</v>
      </c>
      <c r="J32" s="63" t="s">
        <v>5714</v>
      </c>
      <c r="K32" s="68">
        <v>46084.0</v>
      </c>
      <c r="L32" s="69">
        <f t="shared" si="2"/>
        <v>-58</v>
      </c>
      <c r="M32" s="63" t="s">
        <v>5713</v>
      </c>
      <c r="N32" s="62" t="s">
        <v>5666</v>
      </c>
      <c r="O32" s="76">
        <f>SAPEZAL!D42</f>
        <v>880</v>
      </c>
      <c r="P32" s="70">
        <f t="shared" si="3"/>
        <v>0</v>
      </c>
      <c r="Q32" s="71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</row>
    <row r="33" ht="14.25" customHeight="1">
      <c r="A33" s="60">
        <f t="shared" si="1"/>
        <v>46142</v>
      </c>
      <c r="B33" s="61">
        <v>46081.0</v>
      </c>
      <c r="C33" s="62" t="s">
        <v>36</v>
      </c>
      <c r="D33" s="62" t="s">
        <v>4324</v>
      </c>
      <c r="E33" s="62" t="s">
        <v>1031</v>
      </c>
      <c r="F33" s="63" t="s">
        <v>5715</v>
      </c>
      <c r="G33" s="62" t="s">
        <v>4630</v>
      </c>
      <c r="H33" s="65">
        <v>636.0</v>
      </c>
      <c r="I33" s="66">
        <v>126.0</v>
      </c>
      <c r="J33" s="63" t="s">
        <v>5716</v>
      </c>
      <c r="K33" s="68">
        <v>46087.0</v>
      </c>
      <c r="L33" s="69">
        <f t="shared" si="2"/>
        <v>-55</v>
      </c>
      <c r="M33" s="67"/>
      <c r="N33" s="62" t="s">
        <v>5666</v>
      </c>
      <c r="O33" s="76">
        <f>RONDONOPOLIS!D77</f>
        <v>126</v>
      </c>
      <c r="P33" s="70">
        <f t="shared" si="3"/>
        <v>0</v>
      </c>
      <c r="Q33" s="71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</row>
    <row r="34" ht="14.25" customHeight="1">
      <c r="A34" s="60">
        <f t="shared" si="1"/>
        <v>46142</v>
      </c>
      <c r="B34" s="61">
        <v>46081.0</v>
      </c>
      <c r="C34" s="62" t="s">
        <v>36</v>
      </c>
      <c r="D34" s="62" t="s">
        <v>4324</v>
      </c>
      <c r="E34" s="62" t="s">
        <v>1031</v>
      </c>
      <c r="F34" s="63" t="s">
        <v>5717</v>
      </c>
      <c r="G34" s="62" t="s">
        <v>4630</v>
      </c>
      <c r="H34" s="65">
        <v>540.0</v>
      </c>
      <c r="I34" s="66">
        <v>175.0</v>
      </c>
      <c r="J34" s="63" t="s">
        <v>5718</v>
      </c>
      <c r="K34" s="68">
        <v>46087.0</v>
      </c>
      <c r="L34" s="69">
        <f t="shared" si="2"/>
        <v>-55</v>
      </c>
      <c r="M34" s="63" t="s">
        <v>5675</v>
      </c>
      <c r="N34" s="62" t="s">
        <v>5666</v>
      </c>
      <c r="O34" s="66">
        <v>175.0</v>
      </c>
      <c r="P34" s="70">
        <f t="shared" si="3"/>
        <v>0</v>
      </c>
      <c r="Q34" s="71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 ht="14.25" customHeight="1">
      <c r="A35" s="60">
        <f t="shared" si="1"/>
        <v>46142</v>
      </c>
      <c r="B35" s="100">
        <v>46081.0</v>
      </c>
      <c r="C35" s="62" t="s">
        <v>16</v>
      </c>
      <c r="D35" s="62" t="s">
        <v>4090</v>
      </c>
      <c r="E35" s="62" t="s">
        <v>3466</v>
      </c>
      <c r="F35" s="63" t="s">
        <v>5654</v>
      </c>
      <c r="G35" s="62" t="s">
        <v>4630</v>
      </c>
      <c r="H35" s="65">
        <v>600.0</v>
      </c>
      <c r="I35" s="66">
        <v>481.0</v>
      </c>
      <c r="J35" s="67"/>
      <c r="K35" s="68">
        <v>46085.0</v>
      </c>
      <c r="L35" s="69">
        <f t="shared" si="2"/>
        <v>-57</v>
      </c>
      <c r="M35" s="63" t="s">
        <v>5655</v>
      </c>
      <c r="N35" s="62" t="s">
        <v>5656</v>
      </c>
      <c r="O35" s="76">
        <f>'PRIMAVERA DO LESTE'!D51</f>
        <v>481</v>
      </c>
      <c r="P35" s="70">
        <f t="shared" si="3"/>
        <v>0</v>
      </c>
      <c r="Q35" s="71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 ht="14.25" customHeight="1">
      <c r="A36" s="60">
        <f t="shared" si="1"/>
        <v>46142</v>
      </c>
      <c r="B36" s="61">
        <v>46083.0</v>
      </c>
      <c r="C36" s="62" t="s">
        <v>36</v>
      </c>
      <c r="D36" s="62" t="s">
        <v>4324</v>
      </c>
      <c r="E36" s="62" t="s">
        <v>1031</v>
      </c>
      <c r="F36" s="63" t="s">
        <v>5719</v>
      </c>
      <c r="G36" s="62" t="s">
        <v>1535</v>
      </c>
      <c r="H36" s="65">
        <v>648.0</v>
      </c>
      <c r="I36" s="66">
        <v>1929.0</v>
      </c>
      <c r="J36" s="63" t="s">
        <v>5720</v>
      </c>
      <c r="K36" s="68">
        <v>46087.0</v>
      </c>
      <c r="L36" s="69">
        <f t="shared" si="2"/>
        <v>-55</v>
      </c>
      <c r="M36" s="63" t="s">
        <v>5662</v>
      </c>
      <c r="N36" s="62" t="s">
        <v>5666</v>
      </c>
      <c r="O36" s="76">
        <f>RONDONOPOLIS!D101</f>
        <v>1929</v>
      </c>
      <c r="P36" s="70">
        <f t="shared" si="3"/>
        <v>0</v>
      </c>
      <c r="Q36" s="71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ht="14.25" customHeight="1">
      <c r="A37" s="60">
        <f t="shared" si="1"/>
        <v>46142</v>
      </c>
      <c r="B37" s="61">
        <v>46083.0</v>
      </c>
      <c r="C37" s="62" t="s">
        <v>36</v>
      </c>
      <c r="D37" s="62" t="s">
        <v>4324</v>
      </c>
      <c r="E37" s="62" t="s">
        <v>1031</v>
      </c>
      <c r="F37" s="63" t="s">
        <v>5719</v>
      </c>
      <c r="G37" s="62" t="s">
        <v>1535</v>
      </c>
      <c r="H37" s="65">
        <v>648.0</v>
      </c>
      <c r="I37" s="66">
        <v>150.0</v>
      </c>
      <c r="J37" s="63" t="s">
        <v>5721</v>
      </c>
      <c r="K37" s="68">
        <v>46087.0</v>
      </c>
      <c r="L37" s="69">
        <f t="shared" si="2"/>
        <v>-55</v>
      </c>
      <c r="M37" s="63" t="s">
        <v>5665</v>
      </c>
      <c r="N37" s="62" t="s">
        <v>5666</v>
      </c>
      <c r="O37" s="76">
        <f>RONDONOPOLIS!D122</f>
        <v>150</v>
      </c>
      <c r="P37" s="70">
        <f t="shared" si="3"/>
        <v>0</v>
      </c>
      <c r="Q37" s="71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14.25" customHeight="1">
      <c r="A38" s="60">
        <f t="shared" si="1"/>
        <v>46142</v>
      </c>
      <c r="B38" s="61">
        <v>46083.0</v>
      </c>
      <c r="C38" s="62" t="s">
        <v>36</v>
      </c>
      <c r="D38" s="62" t="s">
        <v>4324</v>
      </c>
      <c r="E38" s="62" t="s">
        <v>1031</v>
      </c>
      <c r="F38" s="63" t="s">
        <v>5719</v>
      </c>
      <c r="G38" s="62" t="s">
        <v>1535</v>
      </c>
      <c r="H38" s="65">
        <v>648.0</v>
      </c>
      <c r="I38" s="66">
        <v>73.0</v>
      </c>
      <c r="J38" s="63" t="s">
        <v>5722</v>
      </c>
      <c r="K38" s="68">
        <v>46087.0</v>
      </c>
      <c r="L38" s="69">
        <f t="shared" si="2"/>
        <v>-55</v>
      </c>
      <c r="M38" s="63" t="s">
        <v>5662</v>
      </c>
      <c r="N38" s="62" t="s">
        <v>5666</v>
      </c>
      <c r="O38" s="76">
        <f>RONDONOPOLIS!D132</f>
        <v>73</v>
      </c>
      <c r="P38" s="70">
        <f t="shared" si="3"/>
        <v>0</v>
      </c>
      <c r="Q38" s="71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4.25" customHeight="1">
      <c r="A39" s="60">
        <f t="shared" si="1"/>
        <v>46142</v>
      </c>
      <c r="B39" s="61">
        <v>46083.0</v>
      </c>
      <c r="C39" s="62" t="s">
        <v>36</v>
      </c>
      <c r="D39" s="62" t="s">
        <v>4090</v>
      </c>
      <c r="E39" s="62" t="s">
        <v>4090</v>
      </c>
      <c r="F39" s="63" t="s">
        <v>5699</v>
      </c>
      <c r="G39" s="62" t="s">
        <v>1535</v>
      </c>
      <c r="H39" s="65">
        <v>682.0</v>
      </c>
      <c r="I39" s="66">
        <v>4557.0</v>
      </c>
      <c r="J39" s="63" t="s">
        <v>5723</v>
      </c>
      <c r="K39" s="68">
        <v>46087.0</v>
      </c>
      <c r="L39" s="69">
        <f t="shared" si="2"/>
        <v>-55</v>
      </c>
      <c r="M39" s="63" t="s">
        <v>5662</v>
      </c>
      <c r="N39" s="62" t="s">
        <v>5656</v>
      </c>
      <c r="O39" s="76">
        <f>'PRIMAVERA DO LESTE'!D61</f>
        <v>4557</v>
      </c>
      <c r="P39" s="70">
        <f t="shared" si="3"/>
        <v>0</v>
      </c>
      <c r="Q39" s="71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4.25" customHeight="1">
      <c r="A40" s="60">
        <f t="shared" si="1"/>
        <v>46142</v>
      </c>
      <c r="B40" s="61">
        <v>46083.0</v>
      </c>
      <c r="C40" s="62" t="s">
        <v>36</v>
      </c>
      <c r="D40" s="62" t="s">
        <v>4324</v>
      </c>
      <c r="E40" s="62" t="s">
        <v>4324</v>
      </c>
      <c r="F40" s="63" t="s">
        <v>5702</v>
      </c>
      <c r="G40" s="62" t="s">
        <v>4630</v>
      </c>
      <c r="H40" s="65">
        <v>659.0</v>
      </c>
      <c r="I40" s="66">
        <v>3180.0</v>
      </c>
      <c r="J40" s="63" t="s">
        <v>5724</v>
      </c>
      <c r="K40" s="68">
        <v>46090.0</v>
      </c>
      <c r="L40" s="69">
        <f t="shared" si="2"/>
        <v>-52</v>
      </c>
      <c r="M40" s="63" t="s">
        <v>5659</v>
      </c>
      <c r="N40" s="62" t="s">
        <v>5666</v>
      </c>
      <c r="O40" s="66">
        <v>3180.0</v>
      </c>
      <c r="P40" s="70">
        <f t="shared" si="3"/>
        <v>0</v>
      </c>
      <c r="Q40" s="71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ht="14.25" customHeight="1">
      <c r="A41" s="60">
        <f t="shared" si="1"/>
        <v>46142</v>
      </c>
      <c r="B41" s="61">
        <v>46083.0</v>
      </c>
      <c r="C41" s="62" t="s">
        <v>36</v>
      </c>
      <c r="D41" s="62" t="s">
        <v>4324</v>
      </c>
      <c r="E41" s="62" t="s">
        <v>4324</v>
      </c>
      <c r="F41" s="63" t="s">
        <v>5702</v>
      </c>
      <c r="G41" s="62" t="s">
        <v>1535</v>
      </c>
      <c r="H41" s="65">
        <v>659.0</v>
      </c>
      <c r="I41" s="66">
        <v>319.0</v>
      </c>
      <c r="J41" s="63" t="s">
        <v>5725</v>
      </c>
      <c r="K41" s="68">
        <v>46087.0</v>
      </c>
      <c r="L41" s="69">
        <f t="shared" si="2"/>
        <v>-55</v>
      </c>
      <c r="M41" s="63" t="s">
        <v>5665</v>
      </c>
      <c r="N41" s="62" t="s">
        <v>5666</v>
      </c>
      <c r="O41" s="66">
        <v>319.0</v>
      </c>
      <c r="P41" s="70">
        <f t="shared" si="3"/>
        <v>0</v>
      </c>
      <c r="Q41" s="71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ht="14.25" customHeight="1">
      <c r="A42" s="60">
        <f t="shared" si="1"/>
        <v>46142</v>
      </c>
      <c r="B42" s="61">
        <v>46083.0</v>
      </c>
      <c r="C42" s="62" t="s">
        <v>36</v>
      </c>
      <c r="D42" s="62" t="s">
        <v>4324</v>
      </c>
      <c r="E42" s="62" t="s">
        <v>4324</v>
      </c>
      <c r="F42" s="63" t="s">
        <v>5702</v>
      </c>
      <c r="G42" s="62" t="s">
        <v>1535</v>
      </c>
      <c r="H42" s="65">
        <v>659.0</v>
      </c>
      <c r="I42" s="66">
        <v>4652.0</v>
      </c>
      <c r="J42" s="63" t="s">
        <v>5726</v>
      </c>
      <c r="K42" s="68">
        <v>46090.0</v>
      </c>
      <c r="L42" s="69">
        <f t="shared" si="2"/>
        <v>-52</v>
      </c>
      <c r="M42" s="63" t="s">
        <v>5662</v>
      </c>
      <c r="N42" s="62" t="s">
        <v>5666</v>
      </c>
      <c r="O42" s="66">
        <v>4652.0</v>
      </c>
      <c r="P42" s="70">
        <f t="shared" si="3"/>
        <v>0</v>
      </c>
      <c r="Q42" s="71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14.25" customHeight="1">
      <c r="A43" s="60">
        <f t="shared" si="1"/>
        <v>46142</v>
      </c>
      <c r="B43" s="61">
        <v>46083.0</v>
      </c>
      <c r="C43" s="62" t="s">
        <v>36</v>
      </c>
      <c r="D43" s="62" t="s">
        <v>4324</v>
      </c>
      <c r="E43" s="62" t="s">
        <v>4324</v>
      </c>
      <c r="F43" s="63" t="s">
        <v>5702</v>
      </c>
      <c r="G43" s="62" t="s">
        <v>4630</v>
      </c>
      <c r="H43" s="65">
        <v>659.0</v>
      </c>
      <c r="I43" s="66">
        <v>367.0</v>
      </c>
      <c r="J43" s="63" t="s">
        <v>5727</v>
      </c>
      <c r="K43" s="68">
        <v>46087.0</v>
      </c>
      <c r="L43" s="69">
        <f t="shared" si="2"/>
        <v>-55</v>
      </c>
      <c r="M43" s="63" t="s">
        <v>5669</v>
      </c>
      <c r="N43" s="62" t="s">
        <v>5666</v>
      </c>
      <c r="O43" s="76">
        <f>RONDONOPOLIS!D175</f>
        <v>367</v>
      </c>
      <c r="P43" s="70">
        <f t="shared" si="3"/>
        <v>0</v>
      </c>
      <c r="Q43" s="71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ht="14.25" customHeight="1">
      <c r="A44" s="60">
        <f t="shared" si="1"/>
        <v>46142</v>
      </c>
      <c r="B44" s="61">
        <v>46083.0</v>
      </c>
      <c r="C44" s="62" t="s">
        <v>36</v>
      </c>
      <c r="D44" s="62" t="s">
        <v>4324</v>
      </c>
      <c r="E44" s="62" t="s">
        <v>4324</v>
      </c>
      <c r="F44" s="63" t="s">
        <v>5702</v>
      </c>
      <c r="G44" s="62" t="s">
        <v>4630</v>
      </c>
      <c r="H44" s="65">
        <v>659.0</v>
      </c>
      <c r="I44" s="66">
        <v>500.0</v>
      </c>
      <c r="J44" s="63" t="s">
        <v>5728</v>
      </c>
      <c r="K44" s="68">
        <v>46092.0</v>
      </c>
      <c r="L44" s="69">
        <f t="shared" si="2"/>
        <v>-50</v>
      </c>
      <c r="M44" s="63" t="s">
        <v>5713</v>
      </c>
      <c r="N44" s="62" t="s">
        <v>5656</v>
      </c>
      <c r="O44" s="66">
        <v>500.0</v>
      </c>
      <c r="P44" s="70">
        <f t="shared" si="3"/>
        <v>0</v>
      </c>
      <c r="Q44" s="71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4.25" customHeight="1">
      <c r="A45" s="60">
        <f t="shared" si="1"/>
        <v>46142</v>
      </c>
      <c r="B45" s="61">
        <v>46083.0</v>
      </c>
      <c r="C45" s="62" t="s">
        <v>36</v>
      </c>
      <c r="D45" s="62" t="s">
        <v>4324</v>
      </c>
      <c r="E45" s="62" t="s">
        <v>4324</v>
      </c>
      <c r="F45" s="63" t="s">
        <v>5702</v>
      </c>
      <c r="G45" s="62" t="s">
        <v>4630</v>
      </c>
      <c r="H45" s="65">
        <v>659.0</v>
      </c>
      <c r="I45" s="66">
        <v>1366.0</v>
      </c>
      <c r="J45" s="63" t="s">
        <v>5729</v>
      </c>
      <c r="K45" s="68">
        <v>46087.0</v>
      </c>
      <c r="L45" s="69">
        <f t="shared" si="2"/>
        <v>-55</v>
      </c>
      <c r="M45" s="63" t="s">
        <v>5675</v>
      </c>
      <c r="N45" s="62" t="s">
        <v>5656</v>
      </c>
      <c r="O45" s="66">
        <v>1366.0</v>
      </c>
      <c r="P45" s="70">
        <f t="shared" si="3"/>
        <v>0</v>
      </c>
      <c r="Q45" s="71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14.25" customHeight="1">
      <c r="A46" s="60">
        <f t="shared" si="1"/>
        <v>46142</v>
      </c>
      <c r="B46" s="61">
        <v>46083.0</v>
      </c>
      <c r="C46" s="62" t="s">
        <v>36</v>
      </c>
      <c r="D46" s="62" t="s">
        <v>5112</v>
      </c>
      <c r="E46" s="62" t="s">
        <v>5112</v>
      </c>
      <c r="F46" s="63" t="s">
        <v>5730</v>
      </c>
      <c r="G46" s="62" t="s">
        <v>1535</v>
      </c>
      <c r="H46" s="65">
        <v>841.0</v>
      </c>
      <c r="I46" s="66">
        <v>4545.0</v>
      </c>
      <c r="J46" s="63" t="s">
        <v>5731</v>
      </c>
      <c r="K46" s="68">
        <v>46087.0</v>
      </c>
      <c r="L46" s="69">
        <f t="shared" si="2"/>
        <v>-55</v>
      </c>
      <c r="M46" s="63" t="s">
        <v>5665</v>
      </c>
      <c r="N46" s="62" t="s">
        <v>5666</v>
      </c>
      <c r="O46" s="66">
        <v>4545.0</v>
      </c>
      <c r="P46" s="70">
        <f t="shared" si="3"/>
        <v>0</v>
      </c>
      <c r="Q46" s="71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14.25" customHeight="1">
      <c r="A47" s="60">
        <f t="shared" si="1"/>
        <v>46142</v>
      </c>
      <c r="B47" s="61">
        <v>46083.0</v>
      </c>
      <c r="C47" s="62" t="s">
        <v>36</v>
      </c>
      <c r="D47" s="62" t="s">
        <v>5112</v>
      </c>
      <c r="E47" s="62" t="s">
        <v>2281</v>
      </c>
      <c r="F47" s="63" t="s">
        <v>5732</v>
      </c>
      <c r="G47" s="62" t="s">
        <v>1535</v>
      </c>
      <c r="H47" s="65">
        <v>830.0</v>
      </c>
      <c r="I47" s="66">
        <v>111.0</v>
      </c>
      <c r="J47" s="63" t="s">
        <v>5733</v>
      </c>
      <c r="K47" s="68">
        <v>46087.0</v>
      </c>
      <c r="L47" s="69">
        <f t="shared" si="2"/>
        <v>-55</v>
      </c>
      <c r="M47" s="63" t="s">
        <v>5662</v>
      </c>
      <c r="N47" s="62" t="s">
        <v>5656</v>
      </c>
      <c r="O47" s="76">
        <f>SINOP!D83</f>
        <v>111</v>
      </c>
      <c r="P47" s="70">
        <f t="shared" si="3"/>
        <v>0</v>
      </c>
      <c r="Q47" s="71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4.25" customHeight="1">
      <c r="A48" s="60">
        <f t="shared" si="1"/>
        <v>46142</v>
      </c>
      <c r="B48" s="61">
        <v>46083.0</v>
      </c>
      <c r="C48" s="62" t="s">
        <v>36</v>
      </c>
      <c r="D48" s="62" t="s">
        <v>4978</v>
      </c>
      <c r="E48" s="62" t="s">
        <v>1035</v>
      </c>
      <c r="F48" s="63" t="s">
        <v>5734</v>
      </c>
      <c r="G48" s="62" t="s">
        <v>2079</v>
      </c>
      <c r="H48" s="65">
        <v>841.0</v>
      </c>
      <c r="I48" s="66">
        <v>179.0</v>
      </c>
      <c r="J48" s="63" t="s">
        <v>5735</v>
      </c>
      <c r="K48" s="68">
        <v>46092.0</v>
      </c>
      <c r="L48" s="69">
        <f t="shared" si="2"/>
        <v>-50</v>
      </c>
      <c r="M48" s="63" t="s">
        <v>5713</v>
      </c>
      <c r="N48" s="62" t="s">
        <v>5666</v>
      </c>
      <c r="O48" s="76">
        <f>SAPEZAL!D54</f>
        <v>179</v>
      </c>
      <c r="P48" s="70">
        <f t="shared" si="3"/>
        <v>0</v>
      </c>
      <c r="Q48" s="101"/>
      <c r="R48" s="59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4.25" customHeight="1">
      <c r="A49" s="60">
        <f t="shared" si="1"/>
        <v>46142</v>
      </c>
      <c r="B49" s="61">
        <v>46084.0</v>
      </c>
      <c r="C49" s="62" t="s">
        <v>36</v>
      </c>
      <c r="D49" s="62" t="s">
        <v>4324</v>
      </c>
      <c r="E49" s="62" t="s">
        <v>1031</v>
      </c>
      <c r="F49" s="63" t="s">
        <v>5719</v>
      </c>
      <c r="G49" s="62" t="s">
        <v>1535</v>
      </c>
      <c r="H49" s="65">
        <v>648.0</v>
      </c>
      <c r="I49" s="66">
        <v>164.0</v>
      </c>
      <c r="J49" s="63" t="s">
        <v>5736</v>
      </c>
      <c r="K49" s="68">
        <v>46087.0</v>
      </c>
      <c r="L49" s="69">
        <f t="shared" si="2"/>
        <v>-55</v>
      </c>
      <c r="M49" s="63" t="s">
        <v>5665</v>
      </c>
      <c r="N49" s="62" t="s">
        <v>5666</v>
      </c>
      <c r="O49" s="76">
        <f>RONDONOPOLIS!D212</f>
        <v>164</v>
      </c>
      <c r="P49" s="70">
        <f t="shared" si="3"/>
        <v>0</v>
      </c>
      <c r="Q49" s="101"/>
      <c r="R49" s="59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4.25" customHeight="1">
      <c r="A50" s="60">
        <f t="shared" si="1"/>
        <v>46142</v>
      </c>
      <c r="B50" s="61">
        <v>46086.0</v>
      </c>
      <c r="C50" s="62" t="s">
        <v>36</v>
      </c>
      <c r="D50" s="62" t="s">
        <v>2845</v>
      </c>
      <c r="E50" s="62" t="s">
        <v>2845</v>
      </c>
      <c r="F50" s="63" t="s">
        <v>5737</v>
      </c>
      <c r="G50" s="62" t="s">
        <v>1535</v>
      </c>
      <c r="H50" s="65">
        <v>727.0</v>
      </c>
      <c r="I50" s="66">
        <v>33.0</v>
      </c>
      <c r="J50" s="63" t="s">
        <v>5738</v>
      </c>
      <c r="K50" s="68">
        <v>46093.0</v>
      </c>
      <c r="L50" s="69">
        <f t="shared" si="2"/>
        <v>-49</v>
      </c>
      <c r="M50" s="63" t="s">
        <v>5662</v>
      </c>
      <c r="N50" s="62" t="s">
        <v>5656</v>
      </c>
      <c r="O50" s="66">
        <v>33.0</v>
      </c>
      <c r="P50" s="70">
        <f t="shared" si="3"/>
        <v>0</v>
      </c>
      <c r="Q50" s="101"/>
      <c r="R50" s="59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4.25" customHeight="1">
      <c r="A51" s="60">
        <f t="shared" si="1"/>
        <v>46142</v>
      </c>
      <c r="B51" s="61">
        <v>46086.0</v>
      </c>
      <c r="C51" s="62" t="s">
        <v>36</v>
      </c>
      <c r="D51" s="62" t="s">
        <v>2845</v>
      </c>
      <c r="E51" s="62" t="s">
        <v>2845</v>
      </c>
      <c r="F51" s="63" t="s">
        <v>5657</v>
      </c>
      <c r="G51" s="62" t="s">
        <v>1535</v>
      </c>
      <c r="H51" s="65">
        <v>727.0</v>
      </c>
      <c r="I51" s="66">
        <v>1382.0</v>
      </c>
      <c r="J51" s="63" t="s">
        <v>5739</v>
      </c>
      <c r="K51" s="68">
        <v>46093.0</v>
      </c>
      <c r="L51" s="69">
        <f t="shared" si="2"/>
        <v>-49</v>
      </c>
      <c r="M51" s="63" t="s">
        <v>5662</v>
      </c>
      <c r="N51" s="62" t="s">
        <v>5656</v>
      </c>
      <c r="O51" s="66">
        <v>1382.0</v>
      </c>
      <c r="P51" s="70">
        <f t="shared" si="3"/>
        <v>0</v>
      </c>
      <c r="Q51" s="101"/>
      <c r="R51" s="59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4.25" customHeight="1">
      <c r="A52" s="60">
        <f t="shared" si="1"/>
        <v>46142</v>
      </c>
      <c r="B52" s="61">
        <v>46086.0</v>
      </c>
      <c r="C52" s="62" t="s">
        <v>36</v>
      </c>
      <c r="D52" s="62" t="s">
        <v>4324</v>
      </c>
      <c r="E52" s="62" t="s">
        <v>1031</v>
      </c>
      <c r="F52" s="63" t="s">
        <v>5740</v>
      </c>
      <c r="G52" s="62" t="s">
        <v>1535</v>
      </c>
      <c r="H52" s="65">
        <v>600.0</v>
      </c>
      <c r="I52" s="66">
        <v>119.0</v>
      </c>
      <c r="J52" s="63" t="s">
        <v>5739</v>
      </c>
      <c r="K52" s="68">
        <v>46093.0</v>
      </c>
      <c r="L52" s="69">
        <f t="shared" si="2"/>
        <v>-49</v>
      </c>
      <c r="M52" s="63" t="s">
        <v>5662</v>
      </c>
      <c r="N52" s="62" t="s">
        <v>5656</v>
      </c>
      <c r="O52" s="76">
        <f>RONDONOPOLIS!D224</f>
        <v>119</v>
      </c>
      <c r="P52" s="70">
        <f t="shared" si="3"/>
        <v>0</v>
      </c>
      <c r="Q52" s="101"/>
      <c r="R52" s="59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4.25" customHeight="1">
      <c r="A53" s="60">
        <f t="shared" si="1"/>
        <v>46142</v>
      </c>
      <c r="B53" s="61">
        <v>46086.0</v>
      </c>
      <c r="C53" s="62" t="s">
        <v>36</v>
      </c>
      <c r="D53" s="62" t="s">
        <v>2845</v>
      </c>
      <c r="E53" s="62" t="s">
        <v>2845</v>
      </c>
      <c r="F53" s="63" t="s">
        <v>5741</v>
      </c>
      <c r="G53" s="62" t="s">
        <v>1535</v>
      </c>
      <c r="H53" s="65">
        <v>727.0</v>
      </c>
      <c r="I53" s="66">
        <v>140.0</v>
      </c>
      <c r="J53" s="63" t="s">
        <v>5742</v>
      </c>
      <c r="K53" s="68">
        <v>46093.0</v>
      </c>
      <c r="L53" s="69">
        <f t="shared" si="2"/>
        <v>-49</v>
      </c>
      <c r="M53" s="63" t="s">
        <v>5662</v>
      </c>
      <c r="N53" s="62" t="s">
        <v>5656</v>
      </c>
      <c r="O53" s="66">
        <v>140.0</v>
      </c>
      <c r="P53" s="70">
        <f t="shared" si="3"/>
        <v>0</v>
      </c>
      <c r="Q53" s="101"/>
      <c r="R53" s="59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4.25" customHeight="1">
      <c r="A54" s="60">
        <f t="shared" si="1"/>
        <v>46142</v>
      </c>
      <c r="B54" s="61">
        <v>46091.0</v>
      </c>
      <c r="C54" s="62" t="s">
        <v>16</v>
      </c>
      <c r="D54" s="62" t="s">
        <v>4090</v>
      </c>
      <c r="E54" s="62" t="s">
        <v>3466</v>
      </c>
      <c r="F54" s="63" t="s">
        <v>5654</v>
      </c>
      <c r="G54" s="62" t="s">
        <v>4630</v>
      </c>
      <c r="H54" s="65">
        <v>610.0</v>
      </c>
      <c r="I54" s="66">
        <v>699.0</v>
      </c>
      <c r="J54" s="67"/>
      <c r="K54" s="68">
        <v>46100.0</v>
      </c>
      <c r="L54" s="69">
        <f t="shared" si="2"/>
        <v>-42</v>
      </c>
      <c r="M54" s="63" t="s">
        <v>5655</v>
      </c>
      <c r="N54" s="62" t="s">
        <v>5656</v>
      </c>
      <c r="O54" s="66">
        <v>699.0</v>
      </c>
      <c r="P54" s="70">
        <f t="shared" si="3"/>
        <v>0</v>
      </c>
      <c r="Q54" s="101"/>
      <c r="R54" s="59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4.25" customHeight="1">
      <c r="A55" s="60">
        <f t="shared" si="1"/>
        <v>46142</v>
      </c>
      <c r="B55" s="61">
        <v>46091.0</v>
      </c>
      <c r="C55" s="62" t="s">
        <v>16</v>
      </c>
      <c r="D55" s="62" t="s">
        <v>4090</v>
      </c>
      <c r="E55" s="62" t="s">
        <v>3466</v>
      </c>
      <c r="F55" s="63" t="s">
        <v>5654</v>
      </c>
      <c r="G55" s="62" t="s">
        <v>2079</v>
      </c>
      <c r="H55" s="65">
        <v>610.0</v>
      </c>
      <c r="I55" s="66">
        <v>546.0</v>
      </c>
      <c r="J55" s="67"/>
      <c r="K55" s="68">
        <v>46106.0</v>
      </c>
      <c r="L55" s="69">
        <f t="shared" si="2"/>
        <v>-36</v>
      </c>
      <c r="M55" s="63" t="s">
        <v>5655</v>
      </c>
      <c r="N55" s="62" t="s">
        <v>5656</v>
      </c>
      <c r="O55" s="66">
        <v>546.0</v>
      </c>
      <c r="P55" s="70">
        <f t="shared" si="3"/>
        <v>0</v>
      </c>
      <c r="Q55" s="101"/>
      <c r="R55" s="59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4.25" customHeight="1">
      <c r="A56" s="60">
        <f t="shared" si="1"/>
        <v>46142</v>
      </c>
      <c r="B56" s="61">
        <v>46093.0</v>
      </c>
      <c r="C56" s="62" t="s">
        <v>52</v>
      </c>
      <c r="D56" s="62" t="s">
        <v>5112</v>
      </c>
      <c r="E56" s="62" t="s">
        <v>2981</v>
      </c>
      <c r="F56" s="63" t="s">
        <v>5743</v>
      </c>
      <c r="G56" s="62" t="s">
        <v>4324</v>
      </c>
      <c r="H56" s="65">
        <v>350.0</v>
      </c>
      <c r="I56" s="66">
        <v>1260.0</v>
      </c>
      <c r="J56" s="63" t="s">
        <v>5744</v>
      </c>
      <c r="K56" s="68">
        <v>46108.0</v>
      </c>
      <c r="L56" s="69">
        <f t="shared" si="2"/>
        <v>-34</v>
      </c>
      <c r="M56" s="63" t="s">
        <v>5678</v>
      </c>
      <c r="N56" s="62" t="s">
        <v>5656</v>
      </c>
      <c r="O56" s="76">
        <f>SINOP!D103</f>
        <v>1260</v>
      </c>
      <c r="P56" s="70">
        <f t="shared" si="3"/>
        <v>0</v>
      </c>
      <c r="Q56" s="101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4.25" customHeight="1">
      <c r="A57" s="60">
        <f t="shared" si="1"/>
        <v>46142</v>
      </c>
      <c r="B57" s="61">
        <v>46093.0</v>
      </c>
      <c r="C57" s="62" t="s">
        <v>36</v>
      </c>
      <c r="D57" s="62" t="s">
        <v>4978</v>
      </c>
      <c r="E57" s="62" t="s">
        <v>4978</v>
      </c>
      <c r="F57" s="63" t="s">
        <v>5710</v>
      </c>
      <c r="G57" s="62" t="s">
        <v>243</v>
      </c>
      <c r="H57" s="65">
        <v>680.0</v>
      </c>
      <c r="I57" s="66">
        <v>128.0</v>
      </c>
      <c r="J57" s="63" t="s">
        <v>5745</v>
      </c>
      <c r="K57" s="68">
        <v>46101.0</v>
      </c>
      <c r="L57" s="69">
        <f t="shared" si="2"/>
        <v>-41</v>
      </c>
      <c r="M57" s="63" t="s">
        <v>5746</v>
      </c>
      <c r="N57" s="62" t="s">
        <v>5666</v>
      </c>
      <c r="O57" s="66">
        <v>128.0</v>
      </c>
      <c r="P57" s="70">
        <f t="shared" si="3"/>
        <v>0</v>
      </c>
      <c r="Q57" s="101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4.25" customHeight="1">
      <c r="A58" s="60">
        <f t="shared" si="1"/>
        <v>46142</v>
      </c>
      <c r="B58" s="61">
        <v>46093.0</v>
      </c>
      <c r="C58" s="62" t="s">
        <v>36</v>
      </c>
      <c r="D58" s="62" t="s">
        <v>4324</v>
      </c>
      <c r="E58" s="62" t="s">
        <v>1031</v>
      </c>
      <c r="F58" s="63" t="s">
        <v>5719</v>
      </c>
      <c r="G58" s="62" t="s">
        <v>2110</v>
      </c>
      <c r="H58" s="65">
        <v>1082.0</v>
      </c>
      <c r="I58" s="66">
        <v>118.0</v>
      </c>
      <c r="J58" s="63" t="s">
        <v>5747</v>
      </c>
      <c r="K58" s="68">
        <v>46101.0</v>
      </c>
      <c r="L58" s="69">
        <f t="shared" si="2"/>
        <v>-41</v>
      </c>
      <c r="M58" s="63" t="s">
        <v>5748</v>
      </c>
      <c r="N58" s="62" t="s">
        <v>5666</v>
      </c>
      <c r="O58" s="66">
        <v>118.0</v>
      </c>
      <c r="P58" s="70">
        <f t="shared" si="3"/>
        <v>0</v>
      </c>
      <c r="Q58" s="101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4.25" customHeight="1">
      <c r="A59" s="60">
        <f t="shared" si="1"/>
        <v>46142</v>
      </c>
      <c r="B59" s="61">
        <v>46098.0</v>
      </c>
      <c r="C59" s="62" t="s">
        <v>52</v>
      </c>
      <c r="D59" s="62" t="s">
        <v>4324</v>
      </c>
      <c r="E59" s="62" t="s">
        <v>1031</v>
      </c>
      <c r="F59" s="63" t="s">
        <v>5715</v>
      </c>
      <c r="G59" s="62" t="s">
        <v>4324</v>
      </c>
      <c r="H59" s="65">
        <v>160.0</v>
      </c>
      <c r="I59" s="66">
        <v>871.0</v>
      </c>
      <c r="J59" s="63" t="s">
        <v>5749</v>
      </c>
      <c r="K59" s="68">
        <v>46102.0</v>
      </c>
      <c r="L59" s="69">
        <f t="shared" si="2"/>
        <v>-40</v>
      </c>
      <c r="M59" s="63" t="s">
        <v>5750</v>
      </c>
      <c r="N59" s="62" t="s">
        <v>5666</v>
      </c>
      <c r="O59" s="76">
        <f>RONDONOPOLIS!D236</f>
        <v>871</v>
      </c>
      <c r="P59" s="70">
        <f t="shared" si="3"/>
        <v>0</v>
      </c>
      <c r="Q59" s="101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4.25" customHeight="1">
      <c r="A60" s="60">
        <f t="shared" si="1"/>
        <v>46142</v>
      </c>
      <c r="B60" s="61">
        <v>46100.0</v>
      </c>
      <c r="C60" s="62" t="s">
        <v>52</v>
      </c>
      <c r="D60" s="62" t="s">
        <v>5751</v>
      </c>
      <c r="E60" s="62" t="s">
        <v>1029</v>
      </c>
      <c r="F60" s="63" t="s">
        <v>5752</v>
      </c>
      <c r="G60" s="62" t="s">
        <v>1535</v>
      </c>
      <c r="H60" s="65">
        <v>640.0</v>
      </c>
      <c r="I60" s="66">
        <v>520.0</v>
      </c>
      <c r="J60" s="63" t="s">
        <v>5753</v>
      </c>
      <c r="K60" s="68">
        <v>46112.0</v>
      </c>
      <c r="L60" s="69">
        <f t="shared" si="2"/>
        <v>-30</v>
      </c>
      <c r="M60" s="63" t="s">
        <v>5678</v>
      </c>
      <c r="N60" s="62" t="s">
        <v>5666</v>
      </c>
      <c r="O60" s="76">
        <f>'CAMPO NOVO '!D4</f>
        <v>520</v>
      </c>
      <c r="P60" s="70">
        <f t="shared" si="3"/>
        <v>0</v>
      </c>
      <c r="Q60" s="101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4.25" customHeight="1">
      <c r="A61" s="60">
        <f t="shared" si="1"/>
        <v>46142</v>
      </c>
      <c r="B61" s="61">
        <v>46102.0</v>
      </c>
      <c r="C61" s="62" t="s">
        <v>52</v>
      </c>
      <c r="D61" s="62" t="s">
        <v>5139</v>
      </c>
      <c r="E61" s="62" t="s">
        <v>5139</v>
      </c>
      <c r="F61" s="63" t="s">
        <v>5754</v>
      </c>
      <c r="G61" s="62" t="s">
        <v>4324</v>
      </c>
      <c r="H61" s="65">
        <v>270.0</v>
      </c>
      <c r="I61" s="66">
        <v>298.0</v>
      </c>
      <c r="J61" s="63" t="s">
        <v>5755</v>
      </c>
      <c r="K61" s="68">
        <v>46112.0</v>
      </c>
      <c r="L61" s="69">
        <f t="shared" si="2"/>
        <v>-30</v>
      </c>
      <c r="M61" s="63" t="s">
        <v>5750</v>
      </c>
      <c r="N61" s="62" t="s">
        <v>5666</v>
      </c>
      <c r="O61" s="76">
        <f>SORRISO!D16</f>
        <v>298</v>
      </c>
      <c r="P61" s="70">
        <f t="shared" si="3"/>
        <v>0</v>
      </c>
      <c r="Q61" s="101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4.25" customHeight="1">
      <c r="A62" s="60">
        <f t="shared" si="1"/>
        <v>46142</v>
      </c>
      <c r="B62" s="61">
        <v>46102.0</v>
      </c>
      <c r="C62" s="62" t="s">
        <v>52</v>
      </c>
      <c r="D62" s="62" t="s">
        <v>4978</v>
      </c>
      <c r="E62" s="62" t="s">
        <v>1035</v>
      </c>
      <c r="F62" s="63" t="s">
        <v>5734</v>
      </c>
      <c r="G62" s="62" t="s">
        <v>4324</v>
      </c>
      <c r="H62" s="65">
        <v>290.0</v>
      </c>
      <c r="I62" s="66">
        <v>318.0</v>
      </c>
      <c r="J62" s="63" t="s">
        <v>5749</v>
      </c>
      <c r="K62" s="68">
        <v>46112.0</v>
      </c>
      <c r="L62" s="69">
        <f t="shared" si="2"/>
        <v>-30</v>
      </c>
      <c r="M62" s="63" t="s">
        <v>5750</v>
      </c>
      <c r="N62" s="62" t="s">
        <v>5656</v>
      </c>
      <c r="O62" s="76" t="str">
        <f>SAPEZAL!D80</f>
        <v>#REF!</v>
      </c>
      <c r="P62" s="70" t="str">
        <f t="shared" si="3"/>
        <v>#REF!</v>
      </c>
      <c r="Q62" s="101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4.25" customHeight="1">
      <c r="A63" s="60">
        <f t="shared" si="1"/>
        <v>46142</v>
      </c>
      <c r="B63" s="61">
        <v>46102.0</v>
      </c>
      <c r="C63" s="62" t="s">
        <v>52</v>
      </c>
      <c r="D63" s="62" t="s">
        <v>5112</v>
      </c>
      <c r="E63" s="62" t="s">
        <v>5112</v>
      </c>
      <c r="F63" s="63" t="s">
        <v>5730</v>
      </c>
      <c r="G63" s="62" t="s">
        <v>4324</v>
      </c>
      <c r="H63" s="65">
        <v>290.0</v>
      </c>
      <c r="I63" s="66">
        <v>220.0</v>
      </c>
      <c r="J63" s="63" t="s">
        <v>5749</v>
      </c>
      <c r="K63" s="68">
        <v>46112.0</v>
      </c>
      <c r="L63" s="69">
        <f t="shared" si="2"/>
        <v>-30</v>
      </c>
      <c r="M63" s="63" t="s">
        <v>5750</v>
      </c>
      <c r="N63" s="62" t="s">
        <v>5656</v>
      </c>
      <c r="O63" s="76">
        <f>SINOP!D93</f>
        <v>220</v>
      </c>
      <c r="P63" s="70">
        <f t="shared" si="3"/>
        <v>0</v>
      </c>
      <c r="Q63" s="101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4.25" customHeight="1">
      <c r="A64" s="60">
        <f t="shared" si="1"/>
        <v>46142</v>
      </c>
      <c r="B64" s="61">
        <v>46104.0</v>
      </c>
      <c r="C64" s="62" t="s">
        <v>52</v>
      </c>
      <c r="D64" s="62" t="s">
        <v>2845</v>
      </c>
      <c r="E64" s="62" t="s">
        <v>2845</v>
      </c>
      <c r="F64" s="63" t="s">
        <v>5679</v>
      </c>
      <c r="G64" s="62" t="s">
        <v>4324</v>
      </c>
      <c r="H64" s="65">
        <v>255.0</v>
      </c>
      <c r="I64" s="66">
        <v>487.0</v>
      </c>
      <c r="J64" s="63" t="s">
        <v>5756</v>
      </c>
      <c r="K64" s="68">
        <v>46112.0</v>
      </c>
      <c r="L64" s="69">
        <f t="shared" si="2"/>
        <v>-30</v>
      </c>
      <c r="M64" s="63" t="s">
        <v>5750</v>
      </c>
      <c r="N64" s="62" t="s">
        <v>5666</v>
      </c>
      <c r="O64" s="76">
        <f>'LUCAS DO RIO VERDE'!D222</f>
        <v>487</v>
      </c>
      <c r="P64" s="70">
        <f t="shared" si="3"/>
        <v>0</v>
      </c>
      <c r="Q64" s="101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4.25" customHeight="1">
      <c r="A65" s="60">
        <f t="shared" si="1"/>
        <v>46142</v>
      </c>
      <c r="B65" s="61">
        <v>46104.0</v>
      </c>
      <c r="C65" s="62" t="s">
        <v>52</v>
      </c>
      <c r="D65" s="62" t="s">
        <v>5751</v>
      </c>
      <c r="E65" s="62" t="s">
        <v>1603</v>
      </c>
      <c r="F65" s="63" t="s">
        <v>5757</v>
      </c>
      <c r="G65" s="62" t="s">
        <v>4324</v>
      </c>
      <c r="H65" s="65">
        <v>255.0</v>
      </c>
      <c r="I65" s="66">
        <v>130.0</v>
      </c>
      <c r="J65" s="63" t="s">
        <v>5756</v>
      </c>
      <c r="K65" s="68">
        <v>46112.0</v>
      </c>
      <c r="L65" s="69">
        <f t="shared" si="2"/>
        <v>-30</v>
      </c>
      <c r="M65" s="63" t="s">
        <v>5750</v>
      </c>
      <c r="N65" s="62" t="s">
        <v>5666</v>
      </c>
      <c r="O65" s="66">
        <v>130.0</v>
      </c>
      <c r="P65" s="70">
        <f t="shared" si="3"/>
        <v>0</v>
      </c>
      <c r="Q65" s="101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4.25" customHeight="1">
      <c r="A66" s="60">
        <f t="shared" si="1"/>
        <v>46142</v>
      </c>
      <c r="B66" s="61">
        <v>46105.0</v>
      </c>
      <c r="C66" s="62" t="s">
        <v>3492</v>
      </c>
      <c r="D66" s="62" t="s">
        <v>4978</v>
      </c>
      <c r="E66" s="62" t="s">
        <v>4978</v>
      </c>
      <c r="F66" s="63" t="s">
        <v>5673</v>
      </c>
      <c r="G66" s="62" t="s">
        <v>4324</v>
      </c>
      <c r="H66" s="65">
        <v>250.0</v>
      </c>
      <c r="I66" s="66">
        <v>770.0</v>
      </c>
      <c r="J66" s="63" t="s">
        <v>5758</v>
      </c>
      <c r="K66" s="68">
        <v>46116.0</v>
      </c>
      <c r="L66" s="69">
        <f t="shared" si="2"/>
        <v>-26</v>
      </c>
      <c r="M66" s="63" t="s">
        <v>5672</v>
      </c>
      <c r="N66" s="62" t="s">
        <v>5666</v>
      </c>
      <c r="O66" s="76">
        <f>SAPEZAL!D89</f>
        <v>770</v>
      </c>
      <c r="P66" s="70">
        <f t="shared" si="3"/>
        <v>0</v>
      </c>
      <c r="Q66" s="101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4.25" customHeight="1">
      <c r="A67" s="60">
        <f t="shared" si="1"/>
        <v>46142</v>
      </c>
      <c r="B67" s="61">
        <v>46105.0</v>
      </c>
      <c r="C67" s="62" t="s">
        <v>3492</v>
      </c>
      <c r="D67" s="62" t="s">
        <v>4978</v>
      </c>
      <c r="E67" s="62" t="s">
        <v>4978</v>
      </c>
      <c r="F67" s="63" t="s">
        <v>5759</v>
      </c>
      <c r="G67" s="62" t="s">
        <v>4324</v>
      </c>
      <c r="H67" s="65">
        <v>250.0</v>
      </c>
      <c r="I67" s="66">
        <v>220.0</v>
      </c>
      <c r="J67" s="63" t="s">
        <v>5758</v>
      </c>
      <c r="K67" s="68">
        <v>46116.0</v>
      </c>
      <c r="L67" s="69">
        <f t="shared" si="2"/>
        <v>-26</v>
      </c>
      <c r="M67" s="63" t="s">
        <v>5672</v>
      </c>
      <c r="N67" s="62" t="s">
        <v>5666</v>
      </c>
      <c r="O67" s="76" t="str">
        <f>SAPEZAL!D101</f>
        <v>#REF!</v>
      </c>
      <c r="P67" s="70" t="str">
        <f t="shared" si="3"/>
        <v>#REF!</v>
      </c>
      <c r="Q67" s="101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4.25" customHeight="1">
      <c r="A68" s="68">
        <v>46112.0</v>
      </c>
      <c r="B68" s="66" t="s">
        <v>5760</v>
      </c>
      <c r="C68" s="62" t="s">
        <v>36</v>
      </c>
      <c r="D68" s="62" t="s">
        <v>5112</v>
      </c>
      <c r="E68" s="62" t="s">
        <v>2281</v>
      </c>
      <c r="F68" s="63" t="s">
        <v>5761</v>
      </c>
      <c r="G68" s="62" t="s">
        <v>4324</v>
      </c>
      <c r="H68" s="65">
        <v>295.0</v>
      </c>
      <c r="I68" s="66">
        <v>194.0</v>
      </c>
      <c r="J68" s="63" t="s">
        <v>5762</v>
      </c>
      <c r="K68" s="68">
        <v>46114.0</v>
      </c>
      <c r="L68" s="69">
        <f t="shared" si="2"/>
        <v>2</v>
      </c>
      <c r="M68" s="63" t="s">
        <v>5763</v>
      </c>
      <c r="N68" s="62" t="s">
        <v>5666</v>
      </c>
      <c r="O68" s="76">
        <f>SINOP!D122</f>
        <v>194</v>
      </c>
      <c r="P68" s="70">
        <f t="shared" si="3"/>
        <v>0</v>
      </c>
      <c r="Q68" s="101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4.25" customHeight="1">
      <c r="A69" s="68">
        <v>46112.0</v>
      </c>
      <c r="B69" s="61">
        <v>46112.0</v>
      </c>
      <c r="C69" s="62" t="s">
        <v>36</v>
      </c>
      <c r="D69" s="62" t="s">
        <v>5751</v>
      </c>
      <c r="E69" s="62" t="s">
        <v>3390</v>
      </c>
      <c r="F69" s="63" t="s">
        <v>5764</v>
      </c>
      <c r="G69" s="62" t="s">
        <v>4324</v>
      </c>
      <c r="H69" s="65">
        <v>350.0</v>
      </c>
      <c r="I69" s="66">
        <v>1272.0</v>
      </c>
      <c r="J69" s="63" t="s">
        <v>5765</v>
      </c>
      <c r="K69" s="68">
        <v>46114.0</v>
      </c>
      <c r="L69" s="69">
        <f t="shared" si="2"/>
        <v>2</v>
      </c>
      <c r="M69" s="63" t="s">
        <v>5763</v>
      </c>
      <c r="N69" s="62" t="s">
        <v>5666</v>
      </c>
      <c r="O69" s="76">
        <f>'CAMPO NOVO '!D24</f>
        <v>1272</v>
      </c>
      <c r="P69" s="70">
        <f t="shared" si="3"/>
        <v>0</v>
      </c>
      <c r="Q69" s="101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4.25" customHeight="1">
      <c r="A70" s="68">
        <v>46112.0</v>
      </c>
      <c r="B70" s="61">
        <v>46112.0</v>
      </c>
      <c r="C70" s="62" t="s">
        <v>36</v>
      </c>
      <c r="D70" s="62" t="s">
        <v>2845</v>
      </c>
      <c r="E70" s="62" t="s">
        <v>2845</v>
      </c>
      <c r="F70" s="63" t="s">
        <v>5657</v>
      </c>
      <c r="G70" s="62" t="s">
        <v>4324</v>
      </c>
      <c r="H70" s="65">
        <v>240.0</v>
      </c>
      <c r="I70" s="66">
        <v>532.0</v>
      </c>
      <c r="J70" s="63" t="s">
        <v>5766</v>
      </c>
      <c r="K70" s="68">
        <v>46114.0</v>
      </c>
      <c r="L70" s="69">
        <f t="shared" si="2"/>
        <v>2</v>
      </c>
      <c r="M70" s="63" t="s">
        <v>5763</v>
      </c>
      <c r="N70" s="62" t="s">
        <v>5656</v>
      </c>
      <c r="O70" s="76">
        <f>'LUCAS DO RIO VERDE'!D236</f>
        <v>532</v>
      </c>
      <c r="P70" s="70">
        <f t="shared" si="3"/>
        <v>0</v>
      </c>
      <c r="Q70" s="101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4.25" customHeight="1">
      <c r="A71" s="68">
        <v>46112.0</v>
      </c>
      <c r="B71" s="61">
        <v>46112.0</v>
      </c>
      <c r="C71" s="62" t="s">
        <v>36</v>
      </c>
      <c r="D71" s="62" t="s">
        <v>4978</v>
      </c>
      <c r="E71" s="62" t="s">
        <v>4978</v>
      </c>
      <c r="F71" s="63" t="s">
        <v>5767</v>
      </c>
      <c r="G71" s="62" t="s">
        <v>4324</v>
      </c>
      <c r="H71" s="65">
        <v>250.0</v>
      </c>
      <c r="I71" s="66">
        <v>156.0</v>
      </c>
      <c r="J71" s="63" t="s">
        <v>5766</v>
      </c>
      <c r="K71" s="68">
        <v>46114.0</v>
      </c>
      <c r="L71" s="69">
        <f t="shared" si="2"/>
        <v>2</v>
      </c>
      <c r="M71" s="63" t="s">
        <v>5763</v>
      </c>
      <c r="N71" s="62" t="s">
        <v>5666</v>
      </c>
      <c r="O71" s="76" t="str">
        <f>SAPEZAL!D118</f>
        <v>#REF!</v>
      </c>
      <c r="P71" s="70" t="str">
        <f t="shared" si="3"/>
        <v>#REF!</v>
      </c>
      <c r="Q71" s="101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4.25" customHeight="1">
      <c r="A72" s="68">
        <v>46113.0</v>
      </c>
      <c r="B72" s="61">
        <v>46113.0</v>
      </c>
      <c r="C72" s="62" t="s">
        <v>12</v>
      </c>
      <c r="D72" s="62" t="s">
        <v>2845</v>
      </c>
      <c r="E72" s="62" t="s">
        <v>2845</v>
      </c>
      <c r="F72" s="63" t="s">
        <v>5689</v>
      </c>
      <c r="G72" s="62" t="s">
        <v>4630</v>
      </c>
      <c r="H72" s="65">
        <v>640.0</v>
      </c>
      <c r="I72" s="66">
        <v>560.0</v>
      </c>
      <c r="J72" s="63" t="s">
        <v>5768</v>
      </c>
      <c r="K72" s="68">
        <v>46128.0</v>
      </c>
      <c r="L72" s="69">
        <f t="shared" si="2"/>
        <v>15</v>
      </c>
      <c r="M72" s="63" t="s">
        <v>5713</v>
      </c>
      <c r="N72" s="62" t="s">
        <v>5656</v>
      </c>
      <c r="O72" s="76">
        <f>'LUCAS DO RIO VERDE'!D246</f>
        <v>560</v>
      </c>
      <c r="P72" s="70">
        <f t="shared" si="3"/>
        <v>0</v>
      </c>
      <c r="Q72" s="101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4.25" customHeight="1">
      <c r="A73" s="68">
        <v>46113.0</v>
      </c>
      <c r="B73" s="61">
        <v>46113.0</v>
      </c>
      <c r="C73" s="62" t="s">
        <v>12</v>
      </c>
      <c r="D73" s="62" t="s">
        <v>2845</v>
      </c>
      <c r="E73" s="62" t="s">
        <v>5214</v>
      </c>
      <c r="F73" s="63" t="s">
        <v>5686</v>
      </c>
      <c r="G73" s="62" t="s">
        <v>4630</v>
      </c>
      <c r="H73" s="65">
        <v>640.0</v>
      </c>
      <c r="I73" s="66">
        <v>572.0</v>
      </c>
      <c r="J73" s="63" t="s">
        <v>5768</v>
      </c>
      <c r="K73" s="68">
        <v>46128.0</v>
      </c>
      <c r="L73" s="69">
        <f t="shared" si="2"/>
        <v>15</v>
      </c>
      <c r="M73" s="63" t="s">
        <v>5713</v>
      </c>
      <c r="N73" s="62" t="s">
        <v>5656</v>
      </c>
      <c r="O73" s="76">
        <f>'LUCAS DO RIO VERDE'!D256</f>
        <v>572</v>
      </c>
      <c r="P73" s="70">
        <f t="shared" si="3"/>
        <v>0</v>
      </c>
      <c r="Q73" s="101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4.25" customHeight="1">
      <c r="A74" s="68">
        <v>46113.0</v>
      </c>
      <c r="B74" s="61">
        <v>46113.0</v>
      </c>
      <c r="C74" s="62" t="s">
        <v>12</v>
      </c>
      <c r="D74" s="62" t="s">
        <v>5112</v>
      </c>
      <c r="E74" s="62" t="s">
        <v>2281</v>
      </c>
      <c r="F74" s="63" t="s">
        <v>5690</v>
      </c>
      <c r="G74" s="62" t="s">
        <v>4630</v>
      </c>
      <c r="H74" s="65">
        <v>680.0</v>
      </c>
      <c r="I74" s="66">
        <v>420.0</v>
      </c>
      <c r="J74" s="63" t="s">
        <v>5768</v>
      </c>
      <c r="K74" s="68">
        <v>46128.0</v>
      </c>
      <c r="L74" s="69">
        <f t="shared" si="2"/>
        <v>15</v>
      </c>
      <c r="M74" s="63" t="s">
        <v>5713</v>
      </c>
      <c r="N74" s="62" t="s">
        <v>5656</v>
      </c>
      <c r="O74" s="76">
        <f>SINOP!D130</f>
        <v>420</v>
      </c>
      <c r="P74" s="70">
        <f t="shared" si="3"/>
        <v>0</v>
      </c>
      <c r="Q74" s="101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4.25" customHeight="1">
      <c r="A75" s="68">
        <v>46113.0</v>
      </c>
      <c r="B75" s="61">
        <v>46113.0</v>
      </c>
      <c r="C75" s="62" t="s">
        <v>12</v>
      </c>
      <c r="D75" s="62" t="s">
        <v>5112</v>
      </c>
      <c r="E75" s="62" t="s">
        <v>4009</v>
      </c>
      <c r="F75" s="63" t="s">
        <v>5688</v>
      </c>
      <c r="G75" s="62" t="s">
        <v>4630</v>
      </c>
      <c r="H75" s="65">
        <v>690.0</v>
      </c>
      <c r="I75" s="66">
        <v>140.0</v>
      </c>
      <c r="J75" s="63" t="s">
        <v>5768</v>
      </c>
      <c r="K75" s="68">
        <v>46128.0</v>
      </c>
      <c r="L75" s="69">
        <f t="shared" si="2"/>
        <v>15</v>
      </c>
      <c r="M75" s="63" t="s">
        <v>5713</v>
      </c>
      <c r="N75" s="62" t="s">
        <v>5656</v>
      </c>
      <c r="O75" s="76">
        <f>SINOP!D141</f>
        <v>140</v>
      </c>
      <c r="P75" s="70">
        <f t="shared" si="3"/>
        <v>0</v>
      </c>
      <c r="Q75" s="101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4.25" customHeight="1">
      <c r="A76" s="68">
        <v>46120.0</v>
      </c>
      <c r="B76" s="68">
        <v>46120.0</v>
      </c>
      <c r="C76" s="62" t="s">
        <v>3492</v>
      </c>
      <c r="D76" s="62" t="s">
        <v>5112</v>
      </c>
      <c r="E76" s="62" t="s">
        <v>5433</v>
      </c>
      <c r="F76" s="63" t="s">
        <v>5769</v>
      </c>
      <c r="G76" s="62" t="s">
        <v>4324</v>
      </c>
      <c r="H76" s="65">
        <v>300.0</v>
      </c>
      <c r="I76" s="66">
        <v>440.0</v>
      </c>
      <c r="J76" s="63" t="s">
        <v>5770</v>
      </c>
      <c r="K76" s="68">
        <v>46129.0</v>
      </c>
      <c r="L76" s="69">
        <f t="shared" si="2"/>
        <v>9</v>
      </c>
      <c r="M76" s="63" t="s">
        <v>5672</v>
      </c>
      <c r="N76" s="62" t="s">
        <v>5666</v>
      </c>
      <c r="O76" s="76">
        <f>SINOP!D149</f>
        <v>440</v>
      </c>
      <c r="P76" s="70">
        <f t="shared" si="3"/>
        <v>0</v>
      </c>
      <c r="Q76" s="101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4.25" customHeight="1">
      <c r="A77" s="68">
        <v>46120.0</v>
      </c>
      <c r="B77" s="68">
        <v>46120.0</v>
      </c>
      <c r="C77" s="62" t="s">
        <v>3492</v>
      </c>
      <c r="D77" s="62" t="s">
        <v>4978</v>
      </c>
      <c r="E77" s="62" t="s">
        <v>4978</v>
      </c>
      <c r="F77" s="63" t="s">
        <v>5771</v>
      </c>
      <c r="G77" s="62" t="s">
        <v>4324</v>
      </c>
      <c r="H77" s="65">
        <v>235.0</v>
      </c>
      <c r="I77" s="66">
        <v>330.0</v>
      </c>
      <c r="J77" s="63" t="s">
        <v>5772</v>
      </c>
      <c r="K77" s="68">
        <v>46131.0</v>
      </c>
      <c r="L77" s="69">
        <f t="shared" si="2"/>
        <v>11</v>
      </c>
      <c r="M77" s="63" t="s">
        <v>5672</v>
      </c>
      <c r="N77" s="62" t="s">
        <v>5666</v>
      </c>
      <c r="O77" s="76" t="str">
        <f>SAPEZAL!D135</f>
        <v>#REF!</v>
      </c>
      <c r="P77" s="70" t="str">
        <f t="shared" si="3"/>
        <v>#REF!</v>
      </c>
      <c r="Q77" s="101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4.25" customHeight="1">
      <c r="A78" s="68">
        <v>46120.0</v>
      </c>
      <c r="B78" s="68">
        <v>46120.0</v>
      </c>
      <c r="C78" s="62" t="s">
        <v>3492</v>
      </c>
      <c r="D78" s="62" t="s">
        <v>4978</v>
      </c>
      <c r="E78" s="62" t="s">
        <v>4978</v>
      </c>
      <c r="F78" s="63" t="s">
        <v>5673</v>
      </c>
      <c r="G78" s="62" t="s">
        <v>4324</v>
      </c>
      <c r="H78" s="65">
        <v>235.0</v>
      </c>
      <c r="I78" s="66">
        <v>330.0</v>
      </c>
      <c r="J78" s="63" t="s">
        <v>5772</v>
      </c>
      <c r="K78" s="68">
        <v>46131.0</v>
      </c>
      <c r="L78" s="69">
        <f t="shared" si="2"/>
        <v>11</v>
      </c>
      <c r="M78" s="63" t="s">
        <v>5672</v>
      </c>
      <c r="N78" s="62" t="s">
        <v>5666</v>
      </c>
      <c r="O78" s="76" t="str">
        <f>SAPEZAL!D144</f>
        <v>#REF!</v>
      </c>
      <c r="P78" s="70" t="str">
        <f t="shared" si="3"/>
        <v>#REF!</v>
      </c>
      <c r="Q78" s="101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4.25" customHeight="1">
      <c r="A79" s="68">
        <v>46120.0</v>
      </c>
      <c r="B79" s="68">
        <v>46120.0</v>
      </c>
      <c r="C79" s="62" t="s">
        <v>3492</v>
      </c>
      <c r="D79" s="62" t="s">
        <v>4978</v>
      </c>
      <c r="E79" s="62" t="s">
        <v>4978</v>
      </c>
      <c r="F79" s="63" t="s">
        <v>5670</v>
      </c>
      <c r="G79" s="62" t="s">
        <v>4324</v>
      </c>
      <c r="H79" s="65">
        <v>235.0</v>
      </c>
      <c r="I79" s="66">
        <v>396.0</v>
      </c>
      <c r="J79" s="63" t="s">
        <v>5772</v>
      </c>
      <c r="K79" s="68">
        <v>46131.0</v>
      </c>
      <c r="L79" s="69">
        <f t="shared" si="2"/>
        <v>11</v>
      </c>
      <c r="M79" s="63" t="s">
        <v>5672</v>
      </c>
      <c r="N79" s="62" t="s">
        <v>5666</v>
      </c>
      <c r="O79" s="76" t="str">
        <f>SAPEZAL!D153</f>
        <v>#REF!</v>
      </c>
      <c r="P79" s="70" t="str">
        <f t="shared" si="3"/>
        <v>#REF!</v>
      </c>
      <c r="Q79" s="101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4.25" customHeight="1">
      <c r="A80" s="68">
        <v>46125.0</v>
      </c>
      <c r="B80" s="68">
        <v>46125.0</v>
      </c>
      <c r="C80" s="62" t="s">
        <v>12</v>
      </c>
      <c r="D80" s="62" t="s">
        <v>2845</v>
      </c>
      <c r="E80" s="62" t="s">
        <v>2845</v>
      </c>
      <c r="F80" s="63" t="s">
        <v>5689</v>
      </c>
      <c r="G80" s="62" t="s">
        <v>1535</v>
      </c>
      <c r="H80" s="65">
        <v>610.0</v>
      </c>
      <c r="I80" s="66">
        <v>471.0</v>
      </c>
      <c r="J80" s="63" t="s">
        <v>5773</v>
      </c>
      <c r="K80" s="68">
        <v>46137.0</v>
      </c>
      <c r="L80" s="69">
        <f t="shared" si="2"/>
        <v>12</v>
      </c>
      <c r="M80" s="63" t="s">
        <v>5774</v>
      </c>
      <c r="N80" s="62" t="s">
        <v>5656</v>
      </c>
      <c r="O80" s="76">
        <f>'LUCAS DO RIO VERDE'!D266</f>
        <v>471</v>
      </c>
      <c r="P80" s="70">
        <f t="shared" si="3"/>
        <v>0</v>
      </c>
      <c r="Q80" s="101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4.25" customHeight="1">
      <c r="A81" s="68">
        <v>46125.0</v>
      </c>
      <c r="B81" s="68">
        <v>46125.0</v>
      </c>
      <c r="C81" s="62" t="s">
        <v>12</v>
      </c>
      <c r="D81" s="62" t="s">
        <v>5112</v>
      </c>
      <c r="E81" s="62" t="s">
        <v>2281</v>
      </c>
      <c r="F81" s="63" t="s">
        <v>5690</v>
      </c>
      <c r="G81" s="62" t="s">
        <v>1535</v>
      </c>
      <c r="H81" s="65">
        <v>700.0</v>
      </c>
      <c r="I81" s="66">
        <v>270.0</v>
      </c>
      <c r="J81" s="63" t="s">
        <v>5773</v>
      </c>
      <c r="K81" s="68">
        <v>46137.0</v>
      </c>
      <c r="L81" s="69">
        <f t="shared" si="2"/>
        <v>12</v>
      </c>
      <c r="M81" s="63" t="s">
        <v>5774</v>
      </c>
      <c r="N81" s="62" t="s">
        <v>5656</v>
      </c>
      <c r="O81" s="76">
        <f>SINOP!D158</f>
        <v>270</v>
      </c>
      <c r="P81" s="70">
        <f t="shared" si="3"/>
        <v>0</v>
      </c>
      <c r="Q81" s="101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4.25" customHeight="1">
      <c r="A82" s="68">
        <v>46125.0</v>
      </c>
      <c r="B82" s="68">
        <v>46125.0</v>
      </c>
      <c r="C82" s="62" t="s">
        <v>12</v>
      </c>
      <c r="D82" s="62" t="s">
        <v>5112</v>
      </c>
      <c r="E82" s="62" t="s">
        <v>4009</v>
      </c>
      <c r="F82" s="63" t="s">
        <v>5688</v>
      </c>
      <c r="G82" s="62" t="s">
        <v>1535</v>
      </c>
      <c r="H82" s="65">
        <v>725.0</v>
      </c>
      <c r="I82" s="66">
        <v>248.0</v>
      </c>
      <c r="J82" s="63" t="s">
        <v>5773</v>
      </c>
      <c r="K82" s="68">
        <v>46137.0</v>
      </c>
      <c r="L82" s="69">
        <f t="shared" si="2"/>
        <v>12</v>
      </c>
      <c r="M82" s="63" t="s">
        <v>5774</v>
      </c>
      <c r="N82" s="62" t="s">
        <v>5656</v>
      </c>
      <c r="O82" s="76">
        <f>SINOP!D169</f>
        <v>248</v>
      </c>
      <c r="P82" s="70">
        <f t="shared" si="3"/>
        <v>0</v>
      </c>
      <c r="Q82" s="101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4.25" customHeight="1">
      <c r="A83" s="68">
        <v>46126.0</v>
      </c>
      <c r="B83" s="61">
        <v>46126.0</v>
      </c>
      <c r="C83" s="62" t="s">
        <v>12</v>
      </c>
      <c r="D83" s="62" t="s">
        <v>2845</v>
      </c>
      <c r="E83" s="62" t="s">
        <v>2845</v>
      </c>
      <c r="F83" s="63" t="s">
        <v>5689</v>
      </c>
      <c r="G83" s="62" t="s">
        <v>2079</v>
      </c>
      <c r="H83" s="65">
        <v>610.0</v>
      </c>
      <c r="I83" s="66">
        <v>1071.0</v>
      </c>
      <c r="J83" s="102">
        <v>29616.0</v>
      </c>
      <c r="K83" s="68">
        <v>46134.0</v>
      </c>
      <c r="L83" s="69">
        <f t="shared" si="2"/>
        <v>8</v>
      </c>
      <c r="M83" s="63" t="s">
        <v>5775</v>
      </c>
      <c r="N83" s="62" t="s">
        <v>5656</v>
      </c>
      <c r="O83" s="76">
        <f>'LUCAS DO RIO VERDE'!D276</f>
        <v>1053</v>
      </c>
      <c r="P83" s="70">
        <f t="shared" si="3"/>
        <v>18</v>
      </c>
      <c r="Q83" s="101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4.25" customHeight="1">
      <c r="A84" s="68">
        <v>46126.0</v>
      </c>
      <c r="B84" s="61">
        <v>46126.0</v>
      </c>
      <c r="C84" s="62" t="s">
        <v>3492</v>
      </c>
      <c r="D84" s="62" t="s">
        <v>5112</v>
      </c>
      <c r="E84" s="62" t="s">
        <v>5433</v>
      </c>
      <c r="F84" s="63" t="s">
        <v>5769</v>
      </c>
      <c r="G84" s="62" t="s">
        <v>4324</v>
      </c>
      <c r="H84" s="65">
        <v>300.0</v>
      </c>
      <c r="I84" s="66">
        <v>1564.0</v>
      </c>
      <c r="J84" s="63" t="s">
        <v>5776</v>
      </c>
      <c r="K84" s="68">
        <v>46141.0</v>
      </c>
      <c r="L84" s="66">
        <f t="shared" si="2"/>
        <v>15</v>
      </c>
      <c r="M84" s="63" t="s">
        <v>5672</v>
      </c>
      <c r="N84" s="62" t="s">
        <v>5666</v>
      </c>
      <c r="O84" s="76">
        <f>SINOP!D178</f>
        <v>1561</v>
      </c>
      <c r="P84" s="70">
        <f t="shared" si="3"/>
        <v>3</v>
      </c>
      <c r="Q84" s="101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4.25" customHeight="1">
      <c r="A85" s="68">
        <v>46129.0</v>
      </c>
      <c r="B85" s="61">
        <v>46129.0</v>
      </c>
      <c r="C85" s="62" t="s">
        <v>3492</v>
      </c>
      <c r="D85" s="62" t="s">
        <v>4978</v>
      </c>
      <c r="E85" s="62" t="s">
        <v>4978</v>
      </c>
      <c r="F85" s="63" t="s">
        <v>5759</v>
      </c>
      <c r="G85" s="62" t="s">
        <v>4324</v>
      </c>
      <c r="H85" s="65">
        <v>240.0</v>
      </c>
      <c r="I85" s="66">
        <v>212.0</v>
      </c>
      <c r="J85" s="63" t="s">
        <v>5777</v>
      </c>
      <c r="K85" s="68">
        <v>46130.0</v>
      </c>
      <c r="L85" s="69"/>
      <c r="M85" s="63" t="s">
        <v>5672</v>
      </c>
      <c r="N85" s="62" t="s">
        <v>5666</v>
      </c>
      <c r="O85" s="69"/>
      <c r="P85" s="70"/>
      <c r="Q85" s="101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4.25" customHeight="1">
      <c r="A86" s="60"/>
      <c r="B86" s="61"/>
      <c r="C86" s="62"/>
      <c r="D86" s="62"/>
      <c r="E86" s="62"/>
      <c r="F86" s="63"/>
      <c r="G86" s="62"/>
      <c r="H86" s="65"/>
      <c r="I86" s="66"/>
      <c r="J86" s="63"/>
      <c r="K86" s="68"/>
      <c r="L86" s="69"/>
      <c r="M86" s="63"/>
      <c r="N86" s="62"/>
      <c r="O86" s="69"/>
      <c r="P86" s="70"/>
      <c r="Q86" s="103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4.25" customHeight="1">
      <c r="A87" s="60"/>
      <c r="B87" s="61"/>
      <c r="C87" s="62"/>
      <c r="D87" s="62"/>
      <c r="E87" s="62"/>
      <c r="F87" s="63"/>
      <c r="G87" s="62"/>
      <c r="H87" s="65"/>
      <c r="I87" s="66"/>
      <c r="J87" s="63"/>
      <c r="K87" s="68"/>
      <c r="L87" s="69"/>
      <c r="M87" s="63"/>
      <c r="N87" s="62"/>
      <c r="O87" s="69"/>
      <c r="P87" s="70"/>
      <c r="Q87" s="103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4.25" customHeight="1">
      <c r="A88" s="60"/>
      <c r="B88" s="61"/>
      <c r="C88" s="62"/>
      <c r="D88" s="62"/>
      <c r="E88" s="62"/>
      <c r="F88" s="63"/>
      <c r="G88" s="62"/>
      <c r="H88" s="65"/>
      <c r="I88" s="66"/>
      <c r="J88" s="63"/>
      <c r="K88" s="68"/>
      <c r="L88" s="69"/>
      <c r="M88" s="63"/>
      <c r="N88" s="62"/>
      <c r="O88" s="69"/>
      <c r="P88" s="70"/>
      <c r="Q88" s="103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4.25" customHeight="1">
      <c r="A89" s="60"/>
      <c r="B89" s="61"/>
      <c r="C89" s="62"/>
      <c r="D89" s="62"/>
      <c r="E89" s="62"/>
      <c r="F89" s="63"/>
      <c r="G89" s="62"/>
      <c r="H89" s="65"/>
      <c r="I89" s="104"/>
      <c r="J89" s="66"/>
      <c r="K89" s="68"/>
      <c r="L89" s="69"/>
      <c r="M89" s="66"/>
      <c r="N89" s="62"/>
      <c r="O89" s="105"/>
      <c r="P89" s="106"/>
      <c r="Q89" s="107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4.25" customHeight="1">
      <c r="A90" s="108"/>
      <c r="B90" s="108"/>
      <c r="C90" s="108"/>
      <c r="D90" s="108"/>
      <c r="E90" s="108"/>
      <c r="F90" s="108"/>
      <c r="G90" s="108"/>
      <c r="H90" s="108"/>
      <c r="I90" s="109">
        <f>SUM(I2:I82)</f>
        <v>64100</v>
      </c>
      <c r="J90" s="110"/>
      <c r="K90" s="110"/>
      <c r="L90" s="110"/>
      <c r="M90" s="110"/>
      <c r="N90" s="110"/>
      <c r="O90" s="109" t="str">
        <f>SUM(O2:O67)</f>
        <v>#REF!</v>
      </c>
      <c r="P90" s="109" t="str">
        <f>SUM(P2:P85)</f>
        <v>#REF!</v>
      </c>
      <c r="Q90" s="111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4.2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4.2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4.2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4.2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4.2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4.2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4.2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4.2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4.2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4.2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4.2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4.2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4.2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4.2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4.2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4.2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4.2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4.2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4.2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4.2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4.2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4.2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4.2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4.2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4.2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4.2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4.2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4.2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4.2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4.2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4.2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4.2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4.2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4.2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4.2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4.2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4.2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4.2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4.2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4.2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4.2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4.2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4.2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4.2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4.2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4.2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4.2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4.2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4.2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4.2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4.2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4.2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4.2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4.2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4.2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4.2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4.2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4.2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4.2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4.2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4.2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4.2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4.2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4.2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4.2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4.2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4.2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4.2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4.2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4.2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4.2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4.2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4.2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4.2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4.2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4.2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4.2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4.2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4.2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4.2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4.2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4.2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4.2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4.2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4.2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4.2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4.2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4.2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4.2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4.2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4.2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4.2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4.2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4.2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4.2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4.2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4.2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4.2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4.2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4.2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4.2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4.2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4.2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4.2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4.2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4.2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4.2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4.2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4.2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4.2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4.2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4.2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4.2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4.2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4.2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4.2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4.2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4.2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4.2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4.2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4.2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4.2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4.2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4.2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4.2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4.2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4.2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4.2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4.2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4.2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4.2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4.2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4.2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4.2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4.2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4.2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4.2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4.2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4.2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4.2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4.2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4.2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4.2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4.2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4.2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4.2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4.2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4.2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4.2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4.2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4.2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4.2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4.2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4.2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4.2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4.2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4.2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4.2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4.2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4.2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4.2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4.2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4.2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4.2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4.2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4.2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4.2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4.2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4.2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4.2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4.2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4.2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4.2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4.2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4.2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4.2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4.2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4.2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4.2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4.2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4.2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4.2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4.2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4.2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4.2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4.2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4.2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4.2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4.2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4.2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4.2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4.2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4.2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4.2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4.2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4.2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4.2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4.2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4.2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4.2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4.2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4.2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4.2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4.2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4.2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4.2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4.2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4.2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4.2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4.2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4.2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4.2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4.2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4.2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4.2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4.2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4.2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4.2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4.2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4.2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4.2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4.2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4.2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4.2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4.2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4.2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4.2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4.2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4.2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4.2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4.2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4.2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4.2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4.2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4.2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4.2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4.2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4.2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4.2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4.2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4.2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4.2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4.2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4.2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4.2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4.2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4.2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4.2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4.2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4.2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4.2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4.2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4.2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4.2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4.2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4.2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4.2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4.2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4.2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4.2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4.2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4.2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4.2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4.2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4.2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4.2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4.2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4.2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4.2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4.2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4.2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4.2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4.2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4.2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4.2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4.2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4.2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4.2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4.2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4.2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4.2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4.2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4.2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4.2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4.2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4.2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4.2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4.2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4.2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4.2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4.2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4.2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4.2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4.2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4.2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4.2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4.2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4.2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4.2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4.2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4.2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4.2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4.2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4.2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4.2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4.2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4.2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4.2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4.2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4.2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4.2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4.2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4.2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4.2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4.2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4.2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4.2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4.2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4.2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4.2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4.2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4.2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4.2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4.2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4.2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4.2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4.2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4.2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4.2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4.2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4.2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4.2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4.2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4.2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4.2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4.2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4.2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4.2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4.2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4.2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4.2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4.2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4.2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4.2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4.2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4.2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4.2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4.2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4.2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4.2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4.2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4.2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4.2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4.2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4.2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4.2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4.2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4.2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4.2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4.2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4.2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4.2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4.2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4.2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4.2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4.2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4.2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4.2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4.2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4.2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4.2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4.2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4.2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4.2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4.2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4.2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4.2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4.2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4.2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4.2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4.2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4.2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4.2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4.2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4.2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4.2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4.2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4.2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4.2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4.2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4.2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4.2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4.2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4.2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4.2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4.2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4.2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4.2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4.2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4.2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4.2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4.2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4.2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4.2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4.2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4.2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4.2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4.2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4.2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4.2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4.2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4.2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4.2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4.2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4.2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4.2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4.2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4.2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4.2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4.2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4.2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4.2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4.2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4.2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4.2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4.2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4.2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4.2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4.2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4.2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4.2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4.2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4.2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4.2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4.2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4.2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4.2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4.2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4.2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4.2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4.2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4.2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4.2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4.2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4.2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4.2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4.2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4.2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4.2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4.2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4.2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4.2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4.2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4.2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4.2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4.2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4.2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4.2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4.2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4.2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4.2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4.2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4.2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4.2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4.2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4.2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4.2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4.2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4.2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4.2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4.2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4.2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4.2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4.2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4.2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4.2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4.2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4.2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4.2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4.2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4.2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4.2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4.2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4.2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4.2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4.2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4.2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4.2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4.2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4.2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4.2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4.2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4.2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4.2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4.2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4.2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4.2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4.2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4.2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4.2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4.2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4.2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4.2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4.2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4.2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4.2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4.2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4.2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4.2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4.2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4.2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4.2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4.2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4.2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4.2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4.2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4.2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4.2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4.2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4.2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4.2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4.2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4.2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4.2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4.2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4.2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4.2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4.2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4.2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4.2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4.2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4.2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4.2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4.2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4.2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4.2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4.2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4.2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4.2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4.2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4.2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4.2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4.2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4.2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4.2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4.2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4.2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4.2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4.2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4.2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4.2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4.2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4.2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4.2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4.2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4.2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4.2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4.2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4.2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4.2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4.2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4.2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4.2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4.2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4.2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4.2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4.2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4.2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4.2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4.2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4.2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4.2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4.2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4.2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4.2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4.2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4.2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4.2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4.2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4.2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4.2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4.2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4.2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4.2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4.2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4.2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4.2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4.2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4.2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4.2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4.2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4.2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4.2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4.2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4.2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4.2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4.2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4.2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4.2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4.2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4.2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4.2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4.2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4.2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4.2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4.2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4.2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4.2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4.2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4.2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4.2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4.2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4.2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4.2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4.2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4.2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4.2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4.2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4.2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4.2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4.2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4.2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4.2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4.2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4.2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4.2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4.2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4.2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4.2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4.2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4.2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4.2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4.2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4.2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4.2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4.2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4.2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4.2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4.2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4.2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4.2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4.2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4.2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4.2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4.2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4.2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4.2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4.2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4.2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4.2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4.2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4.2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4.2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4.2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4.2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4.2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4.2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4.2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4.2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4.2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4.2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4.2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4.2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4.2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4.2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4.2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4.2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4.2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4.2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4.2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4.2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4.2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4.2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4.2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4.2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4.2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4.2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4.2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4.2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4.2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4.2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4.2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4.2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4.2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4.2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4.2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4.2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4.2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4.2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4.2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4.2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4.2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4.2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4.2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4.2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4.2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4.2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4.2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4.2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4.2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4.2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4.2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4.2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4.2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4.2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4.2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4.2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4.2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4.2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4.2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4.2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4.2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4.2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4.2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4.2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4.2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4.2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4.2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4.2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4.2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4.2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4.2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4.2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4.2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4.2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4.2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4.2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4.2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4.2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4.2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4.2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4.2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4.2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4.2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4.2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4.2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4.2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4.2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4.2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4.2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4.2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4.2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4.2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4.2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4.2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4.2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4.2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4.2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4.2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4.2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4.2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4.2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4.2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4.2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4.2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4.2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4.2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4.2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4.2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4.2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4.2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4.2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4.2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4.2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4.2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4.2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4.2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4.2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4.2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4.2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4.2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4.2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4.2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4.2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4.2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4.2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4.2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4.2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4.2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4.2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4.2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4.2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4.2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4.2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4.2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4.2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4.2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4.2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4.2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4.2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4.2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4.2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4.2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4.2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4.2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4.2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4.2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4.2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4.2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4.2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4.2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4.2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4.2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4.2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4.2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4.2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4.2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4.2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4.2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4.2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4.2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4.2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4.2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4.2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4.2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4.2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4.2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4.2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4.2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4.2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4.2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4.2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4.2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4.2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4.2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4.2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4.2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4.2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4.2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4.2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4.2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4.2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4.2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4.2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4.2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4.2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4.2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4.2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4.2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4.2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4.2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4.2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4.2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4.2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4.2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4.2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4.2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4.2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4.2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4.2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4.2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4.2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4.2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4.2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4.2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4.2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4.2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4.2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4.2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4.2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4.2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4.2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4.2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4.2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4.2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4.2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4.2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4.2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4.2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4.2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4.2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4.2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4.2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4.2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4.2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4.2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4.2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4.2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4.2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4.2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4.2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4.2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4.2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4.2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4.2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4.2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4.2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4.2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4.2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4.2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4.2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4.2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4.2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4.2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4.2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4.2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4.2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4.2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4.2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4.2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4.2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4.2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4.2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4.2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4.2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4.2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4.2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4.2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4.2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4.2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4.2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4.2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14.2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  <row r="1004" ht="14.2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</row>
    <row r="1005" ht="14.25" customHeight="1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</row>
    <row r="1006" ht="14.25" customHeight="1">
      <c r="A1006" s="108"/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</row>
    <row r="1007" ht="14.25" customHeight="1">
      <c r="A1007" s="108"/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</row>
    <row r="1008" ht="14.25" customHeight="1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  <c r="AB1008" s="48"/>
      <c r="AC1008" s="48"/>
    </row>
    <row r="1009" ht="14.25" customHeight="1">
      <c r="A1009" s="108"/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  <c r="AB1009" s="48"/>
      <c r="AC1009" s="48"/>
    </row>
    <row r="1010" ht="14.25" customHeight="1">
      <c r="A1010" s="108"/>
      <c r="B1010" s="108"/>
      <c r="C1010" s="108"/>
      <c r="D1010" s="108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  <c r="AB1010" s="48"/>
      <c r="AC1010" s="48"/>
    </row>
    <row r="1011" ht="14.25" customHeight="1">
      <c r="A1011" s="108"/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  <c r="AB1011" s="48"/>
      <c r="AC1011" s="48"/>
    </row>
    <row r="1012" ht="14.25" customHeight="1">
      <c r="A1012" s="108"/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</row>
    <row r="1013" ht="14.25" customHeight="1">
      <c r="A1013" s="108"/>
      <c r="B1013" s="108"/>
      <c r="C1013" s="108"/>
      <c r="D1013" s="108"/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8"/>
      <c r="AB1013" s="48"/>
      <c r="AC1013" s="48"/>
    </row>
    <row r="1014" ht="14.25" customHeight="1">
      <c r="A1014" s="108"/>
      <c r="B1014" s="108"/>
      <c r="C1014" s="108"/>
      <c r="D1014" s="108"/>
      <c r="E1014" s="108"/>
      <c r="F1014" s="108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  <c r="AB1014" s="48"/>
      <c r="AC1014" s="48"/>
    </row>
    <row r="1015" ht="14.25" customHeight="1">
      <c r="A1015" s="108"/>
      <c r="B1015" s="108"/>
      <c r="C1015" s="108"/>
      <c r="D1015" s="108"/>
      <c r="E1015" s="108"/>
      <c r="F1015" s="108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</row>
    <row r="1016" ht="14.25" customHeight="1">
      <c r="A1016" s="108"/>
      <c r="B1016" s="108"/>
      <c r="C1016" s="108"/>
      <c r="D1016" s="108"/>
      <c r="E1016" s="108"/>
      <c r="F1016" s="108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8"/>
      <c r="AB1016" s="48"/>
      <c r="AC1016" s="48"/>
    </row>
    <row r="1017" ht="14.25" customHeight="1">
      <c r="A1017" s="108"/>
      <c r="B1017" s="108"/>
      <c r="C1017" s="108"/>
      <c r="D1017" s="108"/>
      <c r="E1017" s="108"/>
      <c r="F1017" s="108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8"/>
      <c r="AB1017" s="48"/>
      <c r="AC1017" s="48"/>
    </row>
    <row r="1018" ht="14.25" customHeight="1">
      <c r="A1018" s="108"/>
      <c r="B1018" s="108"/>
      <c r="C1018" s="108"/>
      <c r="D1018" s="108"/>
      <c r="E1018" s="108"/>
      <c r="F1018" s="108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</row>
    <row r="1019" ht="14.25" customHeight="1">
      <c r="A1019" s="108"/>
      <c r="B1019" s="108"/>
      <c r="C1019" s="108"/>
      <c r="D1019" s="108"/>
      <c r="E1019" s="108"/>
      <c r="F1019" s="108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8"/>
      <c r="AB1019" s="48"/>
      <c r="AC1019" s="48"/>
    </row>
    <row r="1020" ht="14.25" customHeight="1">
      <c r="A1020" s="108"/>
      <c r="B1020" s="108"/>
      <c r="C1020" s="108"/>
      <c r="D1020" s="108"/>
      <c r="E1020" s="108"/>
      <c r="F1020" s="108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48"/>
      <c r="S1020" s="48"/>
      <c r="T1020" s="48"/>
      <c r="U1020" s="48"/>
      <c r="V1020" s="48"/>
      <c r="W1020" s="48"/>
      <c r="X1020" s="48"/>
      <c r="Y1020" s="48"/>
      <c r="Z1020" s="48"/>
      <c r="AA1020" s="48"/>
      <c r="AB1020" s="48"/>
      <c r="AC1020" s="48"/>
    </row>
    <row r="1021" ht="14.25" customHeight="1">
      <c r="A1021" s="108"/>
      <c r="B1021" s="108"/>
      <c r="C1021" s="108"/>
      <c r="D1021" s="108"/>
      <c r="E1021" s="108"/>
      <c r="F1021" s="108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8"/>
      <c r="AB1021" s="48"/>
      <c r="AC1021" s="48"/>
    </row>
    <row r="1022" ht="14.25" customHeight="1">
      <c r="A1022" s="108"/>
      <c r="B1022" s="108"/>
      <c r="C1022" s="108"/>
      <c r="D1022" s="108"/>
      <c r="E1022" s="108"/>
      <c r="F1022" s="108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8"/>
      <c r="AB1022" s="48"/>
      <c r="AC1022" s="48"/>
    </row>
    <row r="1023" ht="14.25" customHeight="1">
      <c r="A1023" s="108"/>
      <c r="B1023" s="108"/>
      <c r="C1023" s="108"/>
      <c r="D1023" s="108"/>
      <c r="E1023" s="108"/>
      <c r="F1023" s="108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48"/>
      <c r="S1023" s="48"/>
      <c r="T1023" s="48"/>
      <c r="U1023" s="48"/>
      <c r="V1023" s="48"/>
      <c r="W1023" s="48"/>
      <c r="X1023" s="48"/>
      <c r="Y1023" s="48"/>
      <c r="Z1023" s="48"/>
      <c r="AA1023" s="48"/>
      <c r="AB1023" s="48"/>
      <c r="AC1023" s="48"/>
    </row>
    <row r="1024" ht="14.25" customHeight="1">
      <c r="A1024" s="108"/>
      <c r="B1024" s="108"/>
      <c r="C1024" s="108"/>
      <c r="D1024" s="108"/>
      <c r="E1024" s="108"/>
      <c r="F1024" s="108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48"/>
      <c r="S1024" s="48"/>
      <c r="T1024" s="48"/>
      <c r="U1024" s="48"/>
      <c r="V1024" s="48"/>
      <c r="W1024" s="48"/>
      <c r="X1024" s="48"/>
      <c r="Y1024" s="48"/>
      <c r="Z1024" s="48"/>
      <c r="AA1024" s="48"/>
      <c r="AB1024" s="48"/>
      <c r="AC1024" s="48"/>
    </row>
    <row r="1025" ht="14.25" customHeight="1">
      <c r="A1025" s="108"/>
      <c r="B1025" s="108"/>
      <c r="C1025" s="108"/>
      <c r="D1025" s="108"/>
      <c r="E1025" s="108"/>
      <c r="F1025" s="108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  <c r="AB1025" s="48"/>
      <c r="AC1025" s="48"/>
    </row>
    <row r="1026" ht="14.25" customHeight="1">
      <c r="A1026" s="108"/>
      <c r="B1026" s="108"/>
      <c r="C1026" s="108"/>
      <c r="D1026" s="108"/>
      <c r="E1026" s="108"/>
      <c r="F1026" s="108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48"/>
      <c r="S1026" s="48"/>
      <c r="T1026" s="48"/>
      <c r="U1026" s="48"/>
      <c r="V1026" s="48"/>
      <c r="W1026" s="48"/>
      <c r="X1026" s="48"/>
      <c r="Y1026" s="48"/>
      <c r="Z1026" s="48"/>
      <c r="AA1026" s="48"/>
      <c r="AB1026" s="48"/>
      <c r="AC1026" s="48"/>
    </row>
    <row r="1027" ht="14.25" customHeight="1">
      <c r="A1027" s="108"/>
      <c r="B1027" s="108"/>
      <c r="C1027" s="108"/>
      <c r="D1027" s="108"/>
      <c r="E1027" s="108"/>
      <c r="F1027" s="108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48"/>
      <c r="S1027" s="48"/>
      <c r="T1027" s="48"/>
      <c r="U1027" s="48"/>
      <c r="V1027" s="48"/>
      <c r="W1027" s="48"/>
      <c r="X1027" s="48"/>
      <c r="Y1027" s="48"/>
      <c r="Z1027" s="48"/>
      <c r="AA1027" s="48"/>
      <c r="AB1027" s="48"/>
      <c r="AC1027" s="48"/>
    </row>
    <row r="1028" ht="14.25" customHeight="1">
      <c r="A1028" s="108"/>
      <c r="B1028" s="108"/>
      <c r="C1028" s="108"/>
      <c r="D1028" s="108"/>
      <c r="E1028" s="108"/>
      <c r="F1028" s="108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48"/>
      <c r="S1028" s="48"/>
      <c r="T1028" s="48"/>
      <c r="U1028" s="48"/>
      <c r="V1028" s="48"/>
      <c r="W1028" s="48"/>
      <c r="X1028" s="48"/>
      <c r="Y1028" s="48"/>
      <c r="Z1028" s="48"/>
      <c r="AA1028" s="48"/>
      <c r="AB1028" s="48"/>
      <c r="AC1028" s="48"/>
    </row>
    <row r="1029" ht="14.25" customHeight="1">
      <c r="A1029" s="48"/>
      <c r="B1029" s="48"/>
      <c r="C1029" s="48"/>
      <c r="D1029" s="48"/>
      <c r="E1029" s="48"/>
      <c r="F1029" s="48"/>
      <c r="G1029" s="48"/>
      <c r="H1029" s="48"/>
      <c r="I1029" s="48"/>
      <c r="J1029" s="48"/>
      <c r="K1029" s="48"/>
      <c r="L1029" s="48"/>
      <c r="M1029" s="48"/>
      <c r="N1029" s="48"/>
      <c r="O1029" s="48"/>
      <c r="P1029" s="48"/>
      <c r="Q1029" s="48"/>
      <c r="R1029" s="48"/>
      <c r="S1029" s="48"/>
      <c r="T1029" s="48"/>
      <c r="U1029" s="48"/>
      <c r="V1029" s="48"/>
      <c r="W1029" s="48"/>
      <c r="X1029" s="48"/>
      <c r="Y1029" s="48"/>
      <c r="Z1029" s="48"/>
      <c r="AA1029" s="48"/>
      <c r="AB1029" s="48"/>
      <c r="AC1029" s="48"/>
    </row>
    <row r="1030" ht="14.25" customHeight="1">
      <c r="A1030" s="48"/>
      <c r="B1030" s="48"/>
      <c r="C1030" s="48"/>
      <c r="D1030" s="48"/>
      <c r="E1030" s="48"/>
      <c r="F1030" s="48"/>
      <c r="G1030" s="48"/>
      <c r="H1030" s="48"/>
      <c r="I1030" s="48"/>
      <c r="J1030" s="48"/>
      <c r="K1030" s="48"/>
      <c r="L1030" s="48"/>
      <c r="M1030" s="48"/>
      <c r="N1030" s="48"/>
      <c r="O1030" s="48"/>
      <c r="P1030" s="48"/>
      <c r="Q1030" s="48"/>
      <c r="R1030" s="48"/>
      <c r="S1030" s="48"/>
      <c r="T1030" s="48"/>
      <c r="U1030" s="48"/>
      <c r="V1030" s="48"/>
      <c r="W1030" s="48"/>
      <c r="X1030" s="48"/>
      <c r="Y1030" s="48"/>
      <c r="Z1030" s="48"/>
      <c r="AA1030" s="48"/>
      <c r="AB1030" s="48"/>
      <c r="AC1030" s="48"/>
    </row>
    <row r="1031" ht="14.25" customHeight="1">
      <c r="A1031" s="48"/>
      <c r="B1031" s="48"/>
      <c r="C1031" s="48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  <c r="S1031" s="48"/>
      <c r="T1031" s="48"/>
      <c r="U1031" s="48"/>
      <c r="V1031" s="48"/>
      <c r="W1031" s="48"/>
      <c r="X1031" s="48"/>
      <c r="Y1031" s="48"/>
      <c r="Z1031" s="48"/>
      <c r="AA1031" s="48"/>
      <c r="AB1031" s="48"/>
      <c r="AC1031" s="48"/>
    </row>
    <row r="1032" ht="14.25" customHeight="1">
      <c r="A1032" s="48"/>
      <c r="B1032" s="48"/>
      <c r="C1032" s="48"/>
      <c r="D1032" s="48"/>
      <c r="E1032" s="48"/>
      <c r="F1032" s="48"/>
      <c r="G1032" s="48"/>
      <c r="H1032" s="48"/>
      <c r="I1032" s="48"/>
      <c r="J1032" s="48"/>
      <c r="K1032" s="48"/>
      <c r="L1032" s="48"/>
      <c r="M1032" s="48"/>
      <c r="N1032" s="48"/>
      <c r="O1032" s="48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  <c r="Z1032" s="48"/>
      <c r="AA1032" s="48"/>
      <c r="AB1032" s="48"/>
      <c r="AC1032" s="48"/>
    </row>
    <row r="1033" ht="14.25" customHeight="1">
      <c r="A1033" s="48"/>
      <c r="B1033" s="48"/>
      <c r="C1033" s="48"/>
      <c r="D1033" s="48"/>
      <c r="E1033" s="48"/>
      <c r="F1033" s="48"/>
      <c r="G1033" s="48"/>
      <c r="H1033" s="48"/>
      <c r="I1033" s="48"/>
      <c r="J1033" s="48"/>
      <c r="K1033" s="48"/>
      <c r="L1033" s="48"/>
      <c r="M1033" s="48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  <c r="Y1033" s="48"/>
      <c r="Z1033" s="48"/>
      <c r="AA1033" s="48"/>
      <c r="AB1033" s="48"/>
      <c r="AC1033" s="48"/>
    </row>
    <row r="1034" ht="14.25" customHeight="1">
      <c r="A1034" s="48"/>
      <c r="B1034" s="48"/>
      <c r="C1034" s="48"/>
      <c r="D1034" s="48"/>
      <c r="E1034" s="48"/>
      <c r="F1034" s="48"/>
      <c r="G1034" s="48"/>
      <c r="H1034" s="48"/>
      <c r="I1034" s="48"/>
      <c r="J1034" s="48"/>
      <c r="K1034" s="48"/>
      <c r="L1034" s="48"/>
      <c r="M1034" s="48"/>
      <c r="N1034" s="48"/>
      <c r="O1034" s="48"/>
      <c r="P1034" s="48"/>
      <c r="Q1034" s="48"/>
      <c r="R1034" s="48"/>
      <c r="S1034" s="48"/>
      <c r="T1034" s="48"/>
      <c r="U1034" s="48"/>
      <c r="V1034" s="48"/>
      <c r="W1034" s="48"/>
      <c r="X1034" s="48"/>
      <c r="Y1034" s="48"/>
      <c r="Z1034" s="48"/>
      <c r="AA1034" s="48"/>
      <c r="AB1034" s="48"/>
      <c r="AC1034" s="48"/>
    </row>
    <row r="1035" ht="14.25" customHeight="1">
      <c r="A1035" s="48"/>
      <c r="B1035" s="48"/>
      <c r="C1035" s="48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  <c r="S1035" s="48"/>
      <c r="T1035" s="48"/>
      <c r="U1035" s="48"/>
      <c r="V1035" s="48"/>
      <c r="W1035" s="48"/>
      <c r="X1035" s="48"/>
      <c r="Y1035" s="48"/>
      <c r="Z1035" s="48"/>
      <c r="AA1035" s="48"/>
      <c r="AB1035" s="48"/>
      <c r="AC1035" s="48"/>
    </row>
    <row r="1036" ht="14.25" customHeight="1">
      <c r="A1036" s="48"/>
      <c r="B1036" s="48"/>
      <c r="C1036" s="48"/>
      <c r="D1036" s="48"/>
      <c r="E1036" s="48"/>
      <c r="F1036" s="48"/>
      <c r="G1036" s="48"/>
      <c r="H1036" s="48"/>
      <c r="I1036" s="48"/>
      <c r="J1036" s="48"/>
      <c r="K1036" s="48"/>
      <c r="L1036" s="48"/>
      <c r="M1036" s="48"/>
      <c r="N1036" s="48"/>
      <c r="O1036" s="48"/>
      <c r="P1036" s="48"/>
      <c r="Q1036" s="48"/>
      <c r="R1036" s="48"/>
      <c r="S1036" s="48"/>
      <c r="T1036" s="48"/>
      <c r="U1036" s="48"/>
      <c r="V1036" s="48"/>
      <c r="W1036" s="48"/>
      <c r="X1036" s="48"/>
      <c r="Y1036" s="48"/>
      <c r="Z1036" s="48"/>
      <c r="AA1036" s="48"/>
      <c r="AB1036" s="48"/>
      <c r="AC1036" s="48"/>
    </row>
    <row r="1037" ht="14.25" customHeight="1">
      <c r="A1037" s="48"/>
      <c r="B1037" s="48"/>
      <c r="C1037" s="48"/>
      <c r="D1037" s="48"/>
      <c r="E1037" s="48"/>
      <c r="F1037" s="48"/>
      <c r="G1037" s="48"/>
      <c r="H1037" s="48"/>
      <c r="I1037" s="48"/>
      <c r="J1037" s="48"/>
      <c r="K1037" s="48"/>
      <c r="L1037" s="48"/>
      <c r="M1037" s="48"/>
      <c r="N1037" s="48"/>
      <c r="O1037" s="48"/>
      <c r="P1037" s="48"/>
      <c r="Q1037" s="48"/>
      <c r="R1037" s="48"/>
      <c r="S1037" s="48"/>
      <c r="T1037" s="48"/>
      <c r="U1037" s="48"/>
      <c r="V1037" s="48"/>
      <c r="W1037" s="48"/>
      <c r="X1037" s="48"/>
      <c r="Y1037" s="48"/>
      <c r="Z1037" s="48"/>
      <c r="AA1037" s="48"/>
      <c r="AB1037" s="48"/>
      <c r="AC1037" s="48"/>
    </row>
    <row r="1038" ht="14.25" customHeight="1">
      <c r="A1038" s="48"/>
      <c r="B1038" s="48"/>
      <c r="C1038" s="48"/>
      <c r="D1038" s="48"/>
      <c r="E1038" s="48"/>
      <c r="F1038" s="48"/>
      <c r="G1038" s="48"/>
      <c r="H1038" s="48"/>
      <c r="I1038" s="48"/>
      <c r="J1038" s="48"/>
      <c r="K1038" s="48"/>
      <c r="L1038" s="48"/>
      <c r="M1038" s="48"/>
      <c r="N1038" s="48"/>
      <c r="O1038" s="48"/>
      <c r="P1038" s="48"/>
      <c r="Q1038" s="48"/>
      <c r="R1038" s="48"/>
      <c r="S1038" s="48"/>
      <c r="T1038" s="48"/>
      <c r="U1038" s="48"/>
      <c r="V1038" s="48"/>
      <c r="W1038" s="48"/>
      <c r="X1038" s="48"/>
      <c r="Y1038" s="48"/>
      <c r="Z1038" s="48"/>
      <c r="AA1038" s="48"/>
      <c r="AB1038" s="48"/>
      <c r="AC1038" s="48"/>
    </row>
    <row r="1039" ht="14.25" customHeight="1">
      <c r="A1039" s="48"/>
      <c r="B1039" s="48"/>
      <c r="C1039" s="48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  <c r="Z1039" s="48"/>
      <c r="AA1039" s="48"/>
      <c r="AB1039" s="48"/>
      <c r="AC1039" s="48"/>
    </row>
    <row r="1040" ht="14.25" customHeight="1">
      <c r="A1040" s="48"/>
      <c r="B1040" s="48"/>
      <c r="C1040" s="48"/>
      <c r="D1040" s="48"/>
      <c r="E1040" s="48"/>
      <c r="F1040" s="48"/>
      <c r="G1040" s="48"/>
      <c r="H1040" s="48"/>
      <c r="I1040" s="48"/>
      <c r="J1040" s="48"/>
      <c r="K1040" s="48"/>
      <c r="L1040" s="48"/>
      <c r="M1040" s="48"/>
      <c r="N1040" s="48"/>
      <c r="O1040" s="48"/>
      <c r="P1040" s="48"/>
      <c r="Q1040" s="48"/>
      <c r="R1040" s="48"/>
      <c r="S1040" s="48"/>
      <c r="T1040" s="48"/>
      <c r="U1040" s="48"/>
      <c r="V1040" s="48"/>
      <c r="W1040" s="48"/>
      <c r="X1040" s="48"/>
      <c r="Y1040" s="48"/>
      <c r="Z1040" s="48"/>
      <c r="AA1040" s="48"/>
      <c r="AB1040" s="48"/>
      <c r="AC1040" s="48"/>
    </row>
    <row r="1041" ht="14.25" customHeight="1">
      <c r="A1041" s="48"/>
      <c r="B1041" s="48"/>
      <c r="C1041" s="48"/>
      <c r="D1041" s="48"/>
      <c r="E1041" s="48"/>
      <c r="F1041" s="48"/>
      <c r="G1041" s="48"/>
      <c r="H1041" s="48"/>
      <c r="I1041" s="48"/>
      <c r="J1041" s="48"/>
      <c r="K1041" s="48"/>
      <c r="L1041" s="48"/>
      <c r="M1041" s="48"/>
      <c r="N1041" s="48"/>
      <c r="O1041" s="48"/>
      <c r="P1041" s="48"/>
      <c r="Q1041" s="48"/>
      <c r="R1041" s="48"/>
      <c r="S1041" s="48"/>
      <c r="T1041" s="48"/>
      <c r="U1041" s="48"/>
      <c r="V1041" s="48"/>
      <c r="W1041" s="48"/>
      <c r="X1041" s="48"/>
      <c r="Y1041" s="48"/>
      <c r="Z1041" s="48"/>
      <c r="AA1041" s="48"/>
      <c r="AB1041" s="48"/>
      <c r="AC1041" s="48"/>
    </row>
    <row r="1042" ht="14.25" customHeight="1">
      <c r="A1042" s="48"/>
      <c r="B1042" s="48"/>
      <c r="C1042" s="48"/>
      <c r="D1042" s="48"/>
      <c r="E1042" s="48"/>
      <c r="F1042" s="48"/>
      <c r="G1042" s="48"/>
      <c r="H1042" s="48"/>
      <c r="I1042" s="48"/>
      <c r="J1042" s="48"/>
      <c r="K1042" s="48"/>
      <c r="L1042" s="48"/>
      <c r="M1042" s="48"/>
      <c r="N1042" s="48"/>
      <c r="O1042" s="48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  <c r="Z1042" s="48"/>
      <c r="AA1042" s="48"/>
      <c r="AB1042" s="48"/>
      <c r="AC1042" s="48"/>
    </row>
    <row r="1043" ht="14.25" customHeight="1">
      <c r="A1043" s="48"/>
      <c r="B1043" s="48"/>
      <c r="C1043" s="48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  <c r="S1043" s="48"/>
      <c r="T1043" s="48"/>
      <c r="U1043" s="48"/>
      <c r="V1043" s="48"/>
      <c r="W1043" s="48"/>
      <c r="X1043" s="48"/>
      <c r="Y1043" s="48"/>
      <c r="Z1043" s="48"/>
      <c r="AA1043" s="48"/>
      <c r="AB1043" s="48"/>
      <c r="AC1043" s="48"/>
    </row>
    <row r="1044" ht="14.25" customHeight="1">
      <c r="A1044" s="48"/>
      <c r="B1044" s="48"/>
      <c r="C1044" s="48"/>
      <c r="D1044" s="48"/>
      <c r="E1044" s="48"/>
      <c r="F1044" s="48"/>
      <c r="G1044" s="48"/>
      <c r="H1044" s="48"/>
      <c r="I1044" s="48"/>
      <c r="J1044" s="48"/>
      <c r="K1044" s="48"/>
      <c r="L1044" s="48"/>
      <c r="M1044" s="48"/>
      <c r="N1044" s="48"/>
      <c r="O1044" s="48"/>
      <c r="P1044" s="48"/>
      <c r="Q1044" s="48"/>
      <c r="R1044" s="48"/>
      <c r="S1044" s="48"/>
      <c r="T1044" s="48"/>
      <c r="U1044" s="48"/>
      <c r="V1044" s="48"/>
      <c r="W1044" s="48"/>
      <c r="X1044" s="48"/>
      <c r="Y1044" s="48"/>
      <c r="Z1044" s="48"/>
      <c r="AA1044" s="48"/>
      <c r="AB1044" s="48"/>
      <c r="AC1044" s="48"/>
    </row>
    <row r="1045" ht="14.25" customHeight="1">
      <c r="A1045" s="48"/>
      <c r="B1045" s="48"/>
      <c r="C1045" s="48"/>
      <c r="D1045" s="48"/>
      <c r="E1045" s="48"/>
      <c r="F1045" s="48"/>
      <c r="G1045" s="48"/>
      <c r="H1045" s="48"/>
      <c r="I1045" s="48"/>
      <c r="J1045" s="48"/>
      <c r="K1045" s="48"/>
      <c r="L1045" s="48"/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</row>
    <row r="1046" ht="14.25" customHeight="1">
      <c r="A1046" s="48"/>
      <c r="B1046" s="48"/>
      <c r="C1046" s="48"/>
      <c r="D1046" s="48"/>
      <c r="E1046" s="48"/>
      <c r="F1046" s="48"/>
      <c r="G1046" s="48"/>
      <c r="H1046" s="48"/>
      <c r="I1046" s="48"/>
      <c r="J1046" s="48"/>
      <c r="K1046" s="48"/>
      <c r="L1046" s="48"/>
      <c r="M1046" s="48"/>
      <c r="N1046" s="48"/>
      <c r="O1046" s="48"/>
      <c r="P1046" s="48"/>
      <c r="Q1046" s="48"/>
      <c r="R1046" s="48"/>
      <c r="S1046" s="48"/>
      <c r="T1046" s="48"/>
      <c r="U1046" s="48"/>
      <c r="V1046" s="48"/>
      <c r="W1046" s="48"/>
      <c r="X1046" s="48"/>
      <c r="Y1046" s="48"/>
      <c r="Z1046" s="48"/>
      <c r="AA1046" s="48"/>
      <c r="AB1046" s="48"/>
      <c r="AC1046" s="48"/>
    </row>
    <row r="1047" ht="14.25" customHeight="1">
      <c r="A1047" s="48"/>
      <c r="B1047" s="48"/>
      <c r="C1047" s="48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</row>
    <row r="1048" ht="14.25" customHeight="1">
      <c r="A1048" s="48"/>
      <c r="B1048" s="48"/>
      <c r="C1048" s="48"/>
      <c r="D1048" s="48"/>
      <c r="E1048" s="48"/>
      <c r="F1048" s="48"/>
      <c r="G1048" s="48"/>
      <c r="H1048" s="48"/>
      <c r="I1048" s="48"/>
      <c r="J1048" s="48"/>
      <c r="K1048" s="48"/>
      <c r="L1048" s="48"/>
      <c r="M1048" s="48"/>
      <c r="N1048" s="48"/>
      <c r="O1048" s="48"/>
      <c r="P1048" s="48"/>
      <c r="Q1048" s="4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</row>
    <row r="1049" ht="14.25" customHeight="1">
      <c r="A1049" s="48"/>
      <c r="B1049" s="48"/>
      <c r="C1049" s="48"/>
      <c r="D1049" s="48"/>
      <c r="E1049" s="48"/>
      <c r="F1049" s="48"/>
      <c r="G1049" s="48"/>
      <c r="H1049" s="48"/>
      <c r="I1049" s="48"/>
      <c r="J1049" s="48"/>
      <c r="K1049" s="48"/>
      <c r="L1049" s="48"/>
      <c r="M1049" s="48"/>
      <c r="N1049" s="48"/>
      <c r="O1049" s="48"/>
      <c r="P1049" s="48"/>
      <c r="Q1049" s="4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</row>
    <row r="1050" ht="14.25" customHeight="1">
      <c r="A1050" s="48"/>
      <c r="B1050" s="48"/>
      <c r="C1050" s="48"/>
      <c r="D1050" s="48"/>
      <c r="E1050" s="48"/>
      <c r="F1050" s="48"/>
      <c r="G1050" s="48"/>
      <c r="H1050" s="48"/>
      <c r="I1050" s="48"/>
      <c r="J1050" s="48"/>
      <c r="K1050" s="48"/>
      <c r="L1050" s="48"/>
      <c r="M1050" s="48"/>
      <c r="N1050" s="48"/>
      <c r="O1050" s="48"/>
      <c r="P1050" s="48"/>
      <c r="Q1050" s="4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</row>
    <row r="1051" ht="14.25" customHeight="1">
      <c r="A1051" s="48"/>
      <c r="B1051" s="48"/>
      <c r="C1051" s="48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</row>
    <row r="1052" ht="14.25" customHeight="1">
      <c r="A1052" s="48"/>
      <c r="B1052" s="48"/>
      <c r="C1052" s="48"/>
      <c r="D1052" s="48"/>
      <c r="E1052" s="48"/>
      <c r="F1052" s="48"/>
      <c r="G1052" s="48"/>
      <c r="H1052" s="48"/>
      <c r="I1052" s="48"/>
      <c r="J1052" s="48"/>
      <c r="K1052" s="48"/>
      <c r="L1052" s="48"/>
      <c r="M1052" s="48"/>
      <c r="N1052" s="48"/>
      <c r="O1052" s="48"/>
      <c r="P1052" s="48"/>
      <c r="Q1052" s="4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</row>
    <row r="1053" ht="14.25" customHeight="1">
      <c r="A1053" s="48"/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L1053" s="48"/>
      <c r="M1053" s="48"/>
      <c r="N1053" s="48"/>
      <c r="O1053" s="48"/>
      <c r="P1053" s="48"/>
      <c r="Q1053" s="4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</row>
    <row r="1054" ht="14.25" customHeight="1">
      <c r="A1054" s="48"/>
      <c r="B1054" s="48"/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  <c r="N1054" s="48"/>
      <c r="O1054" s="48"/>
      <c r="P1054" s="48"/>
      <c r="Q1054" s="4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</row>
    <row r="1055" ht="14.25" customHeight="1">
      <c r="A1055" s="48"/>
      <c r="B1055" s="48"/>
      <c r="C1055" s="48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</row>
    <row r="1056" ht="14.25" customHeight="1">
      <c r="A1056" s="48"/>
      <c r="B1056" s="48"/>
      <c r="C1056" s="48"/>
      <c r="D1056" s="48"/>
      <c r="E1056" s="48"/>
      <c r="F1056" s="48"/>
      <c r="G1056" s="48"/>
      <c r="H1056" s="48"/>
      <c r="I1056" s="48"/>
      <c r="J1056" s="48"/>
      <c r="K1056" s="48"/>
      <c r="L1056" s="48"/>
      <c r="M1056" s="48"/>
      <c r="N1056" s="48"/>
      <c r="O1056" s="48"/>
      <c r="P1056" s="48"/>
      <c r="Q1056" s="4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</row>
    <row r="1057" ht="14.25" customHeight="1">
      <c r="A1057" s="48"/>
      <c r="B1057" s="48"/>
      <c r="C1057" s="48"/>
      <c r="D1057" s="48"/>
      <c r="E1057" s="48"/>
      <c r="F1057" s="48"/>
      <c r="G1057" s="48"/>
      <c r="H1057" s="48"/>
      <c r="I1057" s="48"/>
      <c r="J1057" s="48"/>
      <c r="K1057" s="48"/>
      <c r="L1057" s="48"/>
      <c r="M1057" s="48"/>
      <c r="N1057" s="48"/>
      <c r="O1057" s="48"/>
      <c r="P1057" s="48"/>
      <c r="Q1057" s="4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</row>
    <row r="1058" ht="14.25" customHeight="1">
      <c r="A1058" s="48"/>
      <c r="B1058" s="48"/>
      <c r="C1058" s="48"/>
      <c r="D1058" s="48"/>
      <c r="E1058" s="48"/>
      <c r="F1058" s="48"/>
      <c r="G1058" s="48"/>
      <c r="H1058" s="48"/>
      <c r="I1058" s="48"/>
      <c r="J1058" s="48"/>
      <c r="K1058" s="48"/>
      <c r="L1058" s="48"/>
      <c r="M1058" s="48"/>
      <c r="N1058" s="48"/>
      <c r="O1058" s="48"/>
      <c r="P1058" s="48"/>
      <c r="Q1058" s="4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</row>
    <row r="1059" ht="14.25" customHeight="1">
      <c r="A1059" s="48"/>
      <c r="B1059" s="48"/>
      <c r="C1059" s="48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</row>
    <row r="1060" ht="14.25" customHeight="1">
      <c r="A1060" s="48"/>
      <c r="B1060" s="48"/>
      <c r="C1060" s="48"/>
      <c r="D1060" s="48"/>
      <c r="E1060" s="48"/>
      <c r="F1060" s="48"/>
      <c r="G1060" s="48"/>
      <c r="H1060" s="48"/>
      <c r="I1060" s="48"/>
      <c r="J1060" s="48"/>
      <c r="K1060" s="48"/>
      <c r="L1060" s="48"/>
      <c r="M1060" s="48"/>
      <c r="N1060" s="48"/>
      <c r="O1060" s="48"/>
      <c r="P1060" s="48"/>
      <c r="Q1060" s="4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</row>
    <row r="1061" ht="14.25" customHeight="1">
      <c r="A1061" s="48"/>
      <c r="B1061" s="48"/>
      <c r="C1061" s="48"/>
      <c r="D1061" s="48"/>
      <c r="E1061" s="48"/>
      <c r="F1061" s="48"/>
      <c r="G1061" s="48"/>
      <c r="H1061" s="48"/>
      <c r="I1061" s="48"/>
      <c r="J1061" s="48"/>
      <c r="K1061" s="48"/>
      <c r="L1061" s="48"/>
      <c r="M1061" s="48"/>
      <c r="N1061" s="48"/>
      <c r="O1061" s="48"/>
      <c r="P1061" s="48"/>
      <c r="Q1061" s="4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</row>
    <row r="1062" ht="14.25" customHeight="1">
      <c r="A1062" s="48"/>
      <c r="B1062" s="48"/>
      <c r="C1062" s="48"/>
      <c r="D1062" s="48"/>
      <c r="E1062" s="48"/>
      <c r="F1062" s="48"/>
      <c r="G1062" s="48"/>
      <c r="H1062" s="48"/>
      <c r="I1062" s="48"/>
      <c r="J1062" s="48"/>
      <c r="K1062" s="48"/>
      <c r="L1062" s="48"/>
      <c r="M1062" s="48"/>
      <c r="N1062" s="48"/>
      <c r="O1062" s="48"/>
      <c r="P1062" s="48"/>
      <c r="Q1062" s="4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</row>
    <row r="1063" ht="14.25" customHeight="1">
      <c r="A1063" s="48"/>
      <c r="B1063" s="48"/>
      <c r="C1063" s="48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</row>
    <row r="1064" ht="14.25" customHeight="1">
      <c r="A1064" s="48"/>
      <c r="B1064" s="48"/>
      <c r="C1064" s="48"/>
      <c r="D1064" s="48"/>
      <c r="E1064" s="48"/>
      <c r="F1064" s="48"/>
      <c r="G1064" s="48"/>
      <c r="H1064" s="48"/>
      <c r="I1064" s="48"/>
      <c r="J1064" s="48"/>
      <c r="K1064" s="48"/>
      <c r="L1064" s="48"/>
      <c r="M1064" s="48"/>
      <c r="N1064" s="48"/>
      <c r="O1064" s="48"/>
      <c r="P1064" s="48"/>
      <c r="Q1064" s="4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</row>
    <row r="1065" ht="14.25" customHeight="1">
      <c r="A1065" s="48"/>
      <c r="B1065" s="48"/>
      <c r="C1065" s="48"/>
      <c r="D1065" s="48"/>
      <c r="E1065" s="48"/>
      <c r="F1065" s="48"/>
      <c r="G1065" s="48"/>
      <c r="H1065" s="48"/>
      <c r="I1065" s="48"/>
      <c r="J1065" s="48"/>
      <c r="K1065" s="48"/>
      <c r="L1065" s="48"/>
      <c r="M1065" s="48"/>
      <c r="N1065" s="48"/>
      <c r="O1065" s="48"/>
      <c r="P1065" s="48"/>
      <c r="Q1065" s="4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</row>
    <row r="1066" ht="14.25" customHeight="1">
      <c r="A1066" s="48"/>
      <c r="B1066" s="48"/>
      <c r="C1066" s="48"/>
      <c r="D1066" s="48"/>
      <c r="E1066" s="48"/>
      <c r="F1066" s="48"/>
      <c r="G1066" s="48"/>
      <c r="H1066" s="48"/>
      <c r="I1066" s="48"/>
      <c r="J1066" s="48"/>
      <c r="K1066" s="48"/>
      <c r="L1066" s="48"/>
      <c r="M1066" s="48"/>
      <c r="N1066" s="48"/>
      <c r="O1066" s="48"/>
      <c r="P1066" s="48"/>
      <c r="Q1066" s="4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</row>
    <row r="1067" ht="14.25" customHeight="1">
      <c r="A1067" s="48"/>
      <c r="B1067" s="48"/>
      <c r="C1067" s="48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</row>
  </sheetData>
  <conditionalFormatting sqref="L3 L5:L89">
    <cfRule type="cellIs" dxfId="0" priority="1" operator="between">
      <formula>6</formula>
      <formula>9</formula>
    </cfRule>
  </conditionalFormatting>
  <conditionalFormatting sqref="L3 L5:L89">
    <cfRule type="cellIs" dxfId="1" priority="2" operator="lessThanOrEqual">
      <formula>5</formula>
    </cfRule>
  </conditionalFormatting>
  <conditionalFormatting sqref="L5:L89">
    <cfRule type="cellIs" dxfId="1" priority="3" operator="lessThanOrEqual">
      <formula>5</formula>
    </cfRule>
  </conditionalFormatting>
  <conditionalFormatting sqref="L3 L5:L89">
    <cfRule type="cellIs" dxfId="2" priority="4" operator="greaterThanOrEqual">
      <formula>10</formula>
    </cfRule>
  </conditionalFormatting>
  <conditionalFormatting sqref="L4">
    <cfRule type="cellIs" dxfId="0" priority="5" operator="between">
      <formula>6</formula>
      <formula>9</formula>
    </cfRule>
  </conditionalFormatting>
  <conditionalFormatting sqref="L4">
    <cfRule type="cellIs" dxfId="1" priority="6" operator="lessThanOrEqual">
      <formula>5</formula>
    </cfRule>
  </conditionalFormatting>
  <conditionalFormatting sqref="L4">
    <cfRule type="cellIs" dxfId="2" priority="7" operator="greaterThanOrEqual">
      <formula>10</formula>
    </cfRule>
  </conditionalFormatting>
  <dataValidations>
    <dataValidation type="list" allowBlank="1" showErrorMessage="1" sqref="D3:D89">
      <formula1>"SINOP-MT,PRIMAVERA DO LESTE-MT,SAPEZAL-MT,CAMPO NOVO-MT,CUIABA-MT,LUCAS DO RIO VERDE-MT,SORRISO-MT,NOVA MUTUM-MT,RONDONOPOLIS-MT"</formula1>
    </dataValidation>
    <dataValidation type="custom" allowBlank="1" showDropDown="1" sqref="A3:A89 K3:K89">
      <formula1>OR(NOT(ISERROR(DATEVALUE(A3))), AND(ISNUMBER(A3), LEFT(CELL("format", A3))="D"))</formula1>
    </dataValidation>
    <dataValidation type="list" allowBlank="1" showErrorMessage="1" sqref="C3:C89 E3:E89 G3:G89">
      <formula1>#REF!</formula1>
    </dataValidation>
    <dataValidation type="custom" allowBlank="1" showDropDown="1" sqref="H3:H89">
      <formula1>AND(ISNUMBER(H3),(NOT(OR(NOT(ISERROR(DATEVALUE(H3))), AND(ISNUMBER(H3), LEFT(CELL("format", H3))="D")))))</formula1>
    </dataValidation>
    <dataValidation type="list" allowBlank="1" showErrorMessage="1" sqref="N3:N89">
      <formula1>"FARDINHO,FARDÃO"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4.29"/>
    <col customWidth="1" min="2" max="2" width="76.57"/>
    <col customWidth="1" min="3" max="3" width="17.57"/>
  </cols>
  <sheetData>
    <row r="1" ht="22.5" customHeight="1">
      <c r="A1" s="112" t="s">
        <v>5649</v>
      </c>
      <c r="B1" s="112" t="s">
        <v>5778</v>
      </c>
      <c r="C1" s="112" t="s">
        <v>5779</v>
      </c>
      <c r="D1" s="112" t="s">
        <v>5780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22.5" customHeight="1">
      <c r="A2" s="114" t="s">
        <v>5781</v>
      </c>
      <c r="B2" s="115" t="s">
        <v>5782</v>
      </c>
      <c r="C2" s="116"/>
      <c r="D2" s="116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22.5" customHeight="1">
      <c r="A3" s="114" t="s">
        <v>5783</v>
      </c>
      <c r="B3" s="117" t="s">
        <v>5784</v>
      </c>
      <c r="C3" s="118" t="s">
        <v>5785</v>
      </c>
      <c r="D3" s="118">
        <v>68388.0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22.5" customHeight="1">
      <c r="A4" s="114" t="s">
        <v>5786</v>
      </c>
      <c r="B4" s="117" t="s">
        <v>5787</v>
      </c>
      <c r="C4" s="118">
        <v>3.8948791000159E13</v>
      </c>
      <c r="D4" s="118" t="s">
        <v>5788</v>
      </c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46.5" customHeight="1">
      <c r="A5" s="114" t="s">
        <v>5789</v>
      </c>
      <c r="B5" s="117" t="s">
        <v>5790</v>
      </c>
      <c r="C5" s="118" t="s">
        <v>5791</v>
      </c>
      <c r="D5" s="118">
        <v>755671.0</v>
      </c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46.5" customHeight="1">
      <c r="A6" s="114" t="s">
        <v>5792</v>
      </c>
      <c r="B6" s="117" t="s">
        <v>5793</v>
      </c>
      <c r="C6" s="118" t="s">
        <v>5794</v>
      </c>
      <c r="D6" s="118">
        <v>864784.0</v>
      </c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46.5" customHeight="1">
      <c r="A7" s="114" t="s">
        <v>5795</v>
      </c>
      <c r="B7" s="117" t="s">
        <v>5796</v>
      </c>
      <c r="C7" s="118" t="s">
        <v>5797</v>
      </c>
      <c r="D7" s="118">
        <v>861635.0</v>
      </c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ht="46.5" customHeight="1">
      <c r="A8" s="114" t="s">
        <v>5655</v>
      </c>
      <c r="B8" s="117" t="s">
        <v>5798</v>
      </c>
      <c r="C8" s="118" t="s">
        <v>5791</v>
      </c>
      <c r="D8" s="118">
        <v>383233.0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ht="46.5" customHeight="1">
      <c r="A9" s="114" t="s">
        <v>5799</v>
      </c>
      <c r="B9" s="117" t="s">
        <v>5800</v>
      </c>
      <c r="C9" s="118" t="s">
        <v>5801</v>
      </c>
      <c r="D9" s="118" t="s">
        <v>5802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46.5" customHeight="1">
      <c r="A10" s="114" t="s">
        <v>5803</v>
      </c>
      <c r="B10" s="117" t="s">
        <v>5804</v>
      </c>
      <c r="C10" s="118">
        <v>3.8948791000159E13</v>
      </c>
      <c r="D10" s="118" t="s">
        <v>5805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ht="46.5" customHeight="1">
      <c r="A11" s="114" t="s">
        <v>5806</v>
      </c>
      <c r="B11" s="117" t="s">
        <v>5807</v>
      </c>
      <c r="C11" s="118" t="s">
        <v>5791</v>
      </c>
      <c r="D11" s="118">
        <v>528363.0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ht="46.5" customHeight="1">
      <c r="A12" s="114" t="s">
        <v>5808</v>
      </c>
      <c r="B12" s="117" t="s">
        <v>5809</v>
      </c>
      <c r="C12" s="118" t="s">
        <v>5805</v>
      </c>
      <c r="D12" s="118" t="s">
        <v>5810</v>
      </c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ht="46.5" customHeight="1">
      <c r="A13" s="114" t="s">
        <v>5811</v>
      </c>
      <c r="B13" s="115" t="s">
        <v>5812</v>
      </c>
      <c r="C13" s="116"/>
      <c r="D13" s="116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ht="46.5" customHeight="1">
      <c r="A14" s="114" t="s">
        <v>5813</v>
      </c>
      <c r="B14" s="117" t="s">
        <v>5814</v>
      </c>
      <c r="C14" s="118" t="s">
        <v>5815</v>
      </c>
      <c r="D14" s="118" t="s">
        <v>5816</v>
      </c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46.5" customHeight="1">
      <c r="A15" s="114" t="s">
        <v>5817</v>
      </c>
      <c r="B15" s="115" t="s">
        <v>5818</v>
      </c>
      <c r="C15" s="116"/>
      <c r="D15" s="116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ht="46.5" customHeight="1">
      <c r="A16" s="114" t="s">
        <v>5819</v>
      </c>
      <c r="B16" s="115" t="s">
        <v>5820</v>
      </c>
      <c r="C16" s="116"/>
      <c r="D16" s="116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46.5" customHeight="1">
      <c r="A17" s="114" t="s">
        <v>5775</v>
      </c>
      <c r="B17" s="117" t="s">
        <v>5821</v>
      </c>
      <c r="C17" s="118" t="s">
        <v>5805</v>
      </c>
      <c r="D17" s="118" t="s">
        <v>5810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ht="46.5" customHeight="1">
      <c r="A18" s="114" t="s">
        <v>5659</v>
      </c>
      <c r="B18" s="114" t="s">
        <v>5822</v>
      </c>
      <c r="C18" s="116"/>
      <c r="D18" s="116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t="46.5" customHeight="1">
      <c r="A19" s="114" t="s">
        <v>5675</v>
      </c>
      <c r="B19" s="117" t="s">
        <v>5823</v>
      </c>
      <c r="C19" s="118" t="s">
        <v>5785</v>
      </c>
      <c r="D19" s="118">
        <v>827245.0</v>
      </c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ht="46.5" customHeight="1">
      <c r="A20" s="114" t="s">
        <v>5824</v>
      </c>
      <c r="B20" s="117" t="s">
        <v>5825</v>
      </c>
      <c r="C20" s="118" t="s">
        <v>5826</v>
      </c>
      <c r="D20" s="118">
        <v>328847.0</v>
      </c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t="46.5" customHeight="1">
      <c r="A21" s="119" t="s">
        <v>5827</v>
      </c>
      <c r="B21" s="120" t="s">
        <v>5828</v>
      </c>
      <c r="C21" s="121" t="s">
        <v>5829</v>
      </c>
      <c r="D21" s="121" t="s">
        <v>5830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t="46.5" customHeight="1">
      <c r="A22" s="113"/>
      <c r="B22" s="113"/>
      <c r="C22" s="122"/>
      <c r="D22" s="122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ht="46.5" customHeight="1">
      <c r="A23" s="113"/>
      <c r="B23" s="113"/>
      <c r="C23" s="122"/>
      <c r="D23" s="122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46.5" customHeight="1">
      <c r="A24" s="113"/>
      <c r="B24" s="113"/>
      <c r="C24" s="122"/>
      <c r="D24" s="122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46.5" customHeight="1">
      <c r="A25" s="113"/>
      <c r="B25" s="113"/>
      <c r="C25" s="122"/>
      <c r="D25" s="122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>
      <c r="A26" s="113"/>
      <c r="B26" s="113"/>
      <c r="C26" s="122"/>
      <c r="D26" s="122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A27" s="113"/>
      <c r="B27" s="113"/>
      <c r="C27" s="122"/>
      <c r="D27" s="122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>
      <c r="A28" s="113"/>
      <c r="B28" s="113"/>
      <c r="C28" s="122"/>
      <c r="D28" s="122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>
      <c r="A29" s="113"/>
      <c r="B29" s="113"/>
      <c r="C29" s="122"/>
      <c r="D29" s="122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>
      <c r="A30" s="113"/>
      <c r="B30" s="113"/>
      <c r="C30" s="122"/>
      <c r="D30" s="122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113"/>
      <c r="B31" s="113"/>
      <c r="C31" s="122"/>
      <c r="D31" s="122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>
      <c r="A32" s="113"/>
      <c r="B32" s="113"/>
      <c r="C32" s="122"/>
      <c r="D32" s="122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>
      <c r="A33" s="113"/>
      <c r="B33" s="113"/>
      <c r="C33" s="122"/>
      <c r="D33" s="122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>
      <c r="A34" s="113"/>
      <c r="B34" s="113"/>
      <c r="C34" s="122"/>
      <c r="D34" s="122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>
      <c r="A35" s="113"/>
      <c r="B35" s="113"/>
      <c r="C35" s="122"/>
      <c r="D35" s="122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>
      <c r="A36" s="113"/>
      <c r="B36" s="113"/>
      <c r="C36" s="122"/>
      <c r="D36" s="122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A37" s="113"/>
      <c r="B37" s="113"/>
      <c r="C37" s="122"/>
      <c r="D37" s="122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A38" s="113"/>
      <c r="B38" s="113"/>
      <c r="C38" s="122"/>
      <c r="D38" s="122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A39" s="113"/>
      <c r="B39" s="113"/>
      <c r="C39" s="122"/>
      <c r="D39" s="122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>
      <c r="A40" s="113"/>
      <c r="B40" s="113"/>
      <c r="C40" s="122"/>
      <c r="D40" s="122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>
      <c r="A41" s="113"/>
      <c r="B41" s="113"/>
      <c r="C41" s="122"/>
      <c r="D41" s="122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113"/>
      <c r="B42" s="113"/>
      <c r="C42" s="122"/>
      <c r="D42" s="122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>
      <c r="A43" s="113"/>
      <c r="B43" s="113"/>
      <c r="C43" s="122"/>
      <c r="D43" s="122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113"/>
      <c r="B44" s="113"/>
      <c r="C44" s="122"/>
      <c r="D44" s="122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113"/>
      <c r="B45" s="113"/>
      <c r="C45" s="122"/>
      <c r="D45" s="122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113"/>
      <c r="B46" s="113"/>
      <c r="C46" s="122"/>
      <c r="D46" s="122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113"/>
      <c r="B47" s="113"/>
      <c r="C47" s="122"/>
      <c r="D47" s="122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113"/>
      <c r="B48" s="113"/>
      <c r="C48" s="122"/>
      <c r="D48" s="122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113"/>
      <c r="B49" s="113"/>
      <c r="C49" s="122"/>
      <c r="D49" s="122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113"/>
      <c r="B50" s="113"/>
      <c r="C50" s="122"/>
      <c r="D50" s="122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113"/>
      <c r="B51" s="113"/>
      <c r="C51" s="122"/>
      <c r="D51" s="122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113"/>
      <c r="B52" s="113"/>
      <c r="C52" s="122"/>
      <c r="D52" s="122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113"/>
      <c r="B53" s="113"/>
      <c r="C53" s="122"/>
      <c r="D53" s="122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113"/>
      <c r="B54" s="113"/>
      <c r="C54" s="122"/>
      <c r="D54" s="122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113"/>
      <c r="B55" s="113"/>
      <c r="C55" s="122"/>
      <c r="D55" s="122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113"/>
      <c r="B56" s="113"/>
      <c r="C56" s="122"/>
      <c r="D56" s="122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113"/>
      <c r="B57" s="113"/>
      <c r="C57" s="122"/>
      <c r="D57" s="122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113"/>
      <c r="B58" s="113"/>
      <c r="C58" s="122"/>
      <c r="D58" s="122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113"/>
      <c r="B59" s="113"/>
      <c r="C59" s="122"/>
      <c r="D59" s="122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113"/>
      <c r="B60" s="113"/>
      <c r="C60" s="122"/>
      <c r="D60" s="122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113"/>
      <c r="B61" s="113"/>
      <c r="C61" s="122"/>
      <c r="D61" s="122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113"/>
      <c r="B62" s="113"/>
      <c r="C62" s="122"/>
      <c r="D62" s="122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113"/>
      <c r="B63" s="113"/>
      <c r="C63" s="122"/>
      <c r="D63" s="122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113"/>
      <c r="B64" s="113"/>
      <c r="C64" s="122"/>
      <c r="D64" s="122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113"/>
      <c r="B65" s="113"/>
      <c r="C65" s="122"/>
      <c r="D65" s="122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113"/>
      <c r="B66" s="113"/>
      <c r="C66" s="122"/>
      <c r="D66" s="122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113"/>
      <c r="B67" s="113"/>
      <c r="C67" s="122"/>
      <c r="D67" s="122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113"/>
      <c r="B68" s="113"/>
      <c r="C68" s="122"/>
      <c r="D68" s="122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113"/>
      <c r="B69" s="113"/>
      <c r="C69" s="122"/>
      <c r="D69" s="122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113"/>
      <c r="B70" s="113"/>
      <c r="C70" s="122"/>
      <c r="D70" s="122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113"/>
      <c r="B71" s="113"/>
      <c r="C71" s="122"/>
      <c r="D71" s="122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113"/>
      <c r="B72" s="113"/>
      <c r="C72" s="122"/>
      <c r="D72" s="122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113"/>
      <c r="B73" s="113"/>
      <c r="C73" s="122"/>
      <c r="D73" s="122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113"/>
      <c r="B74" s="113"/>
      <c r="C74" s="122"/>
      <c r="D74" s="122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113"/>
      <c r="B75" s="113"/>
      <c r="C75" s="122"/>
      <c r="D75" s="122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113"/>
      <c r="B76" s="113"/>
      <c r="C76" s="122"/>
      <c r="D76" s="122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113"/>
      <c r="B77" s="113"/>
      <c r="C77" s="122"/>
      <c r="D77" s="122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113"/>
      <c r="B78" s="113"/>
      <c r="C78" s="122"/>
      <c r="D78" s="122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113"/>
      <c r="B79" s="113"/>
      <c r="C79" s="122"/>
      <c r="D79" s="122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113"/>
      <c r="B80" s="113"/>
      <c r="C80" s="122"/>
      <c r="D80" s="122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113"/>
      <c r="B81" s="113"/>
      <c r="C81" s="122"/>
      <c r="D81" s="122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113"/>
      <c r="B82" s="113"/>
      <c r="C82" s="122"/>
      <c r="D82" s="122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113"/>
      <c r="B83" s="113"/>
      <c r="C83" s="122"/>
      <c r="D83" s="122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113"/>
      <c r="B84" s="113"/>
      <c r="C84" s="122"/>
      <c r="D84" s="122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113"/>
      <c r="B85" s="113"/>
      <c r="C85" s="122"/>
      <c r="D85" s="122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113"/>
      <c r="B86" s="113"/>
      <c r="C86" s="122"/>
      <c r="D86" s="122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3"/>
      <c r="B87" s="113"/>
      <c r="C87" s="122"/>
      <c r="D87" s="122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13"/>
      <c r="B88" s="113"/>
      <c r="C88" s="122"/>
      <c r="D88" s="122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13"/>
      <c r="B89" s="113"/>
      <c r="C89" s="122"/>
      <c r="D89" s="122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13"/>
      <c r="B90" s="113"/>
      <c r="C90" s="122"/>
      <c r="D90" s="122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13"/>
      <c r="B91" s="113"/>
      <c r="C91" s="122"/>
      <c r="D91" s="122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3"/>
      <c r="B92" s="113"/>
      <c r="C92" s="122"/>
      <c r="D92" s="122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3"/>
      <c r="B93" s="113"/>
      <c r="C93" s="122"/>
      <c r="D93" s="122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3"/>
      <c r="B94" s="113"/>
      <c r="C94" s="122"/>
      <c r="D94" s="122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3"/>
      <c r="B95" s="113"/>
      <c r="C95" s="122"/>
      <c r="D95" s="122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3"/>
      <c r="B96" s="113"/>
      <c r="C96" s="122"/>
      <c r="D96" s="122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3"/>
      <c r="B97" s="113"/>
      <c r="C97" s="122"/>
      <c r="D97" s="122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3"/>
      <c r="B98" s="113"/>
      <c r="C98" s="122"/>
      <c r="D98" s="122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>
      <c r="A99" s="113"/>
      <c r="B99" s="113"/>
      <c r="C99" s="122"/>
      <c r="D99" s="122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>
      <c r="A100" s="113"/>
      <c r="B100" s="113"/>
      <c r="C100" s="122"/>
      <c r="D100" s="122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3"/>
      <c r="B101" s="113"/>
      <c r="C101" s="122"/>
      <c r="D101" s="122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3"/>
      <c r="B102" s="113"/>
      <c r="C102" s="122"/>
      <c r="D102" s="122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3"/>
      <c r="B103" s="113"/>
      <c r="C103" s="122"/>
      <c r="D103" s="122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3"/>
      <c r="B104" s="113"/>
      <c r="C104" s="122"/>
      <c r="D104" s="122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3"/>
      <c r="B105" s="113"/>
      <c r="C105" s="122"/>
      <c r="D105" s="122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3"/>
      <c r="B106" s="113"/>
      <c r="C106" s="122"/>
      <c r="D106" s="122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3"/>
      <c r="B107" s="113"/>
      <c r="C107" s="122"/>
      <c r="D107" s="122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3"/>
      <c r="B108" s="113"/>
      <c r="C108" s="122"/>
      <c r="D108" s="122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3"/>
      <c r="B109" s="113"/>
      <c r="C109" s="122"/>
      <c r="D109" s="122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3"/>
      <c r="B110" s="113"/>
      <c r="C110" s="122"/>
      <c r="D110" s="122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3"/>
      <c r="B111" s="113"/>
      <c r="C111" s="122"/>
      <c r="D111" s="122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3"/>
      <c r="B112" s="113"/>
      <c r="C112" s="122"/>
      <c r="D112" s="122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3"/>
      <c r="B113" s="113"/>
      <c r="C113" s="122"/>
      <c r="D113" s="122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3"/>
      <c r="B114" s="113"/>
      <c r="C114" s="122"/>
      <c r="D114" s="122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3"/>
      <c r="B115" s="113"/>
      <c r="C115" s="122"/>
      <c r="D115" s="122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3"/>
      <c r="B116" s="113"/>
      <c r="C116" s="122"/>
      <c r="D116" s="122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3"/>
      <c r="B117" s="113"/>
      <c r="C117" s="122"/>
      <c r="D117" s="122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3"/>
      <c r="B118" s="113"/>
      <c r="C118" s="122"/>
      <c r="D118" s="122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3"/>
      <c r="B119" s="113"/>
      <c r="C119" s="122"/>
      <c r="D119" s="122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3"/>
      <c r="B120" s="113"/>
      <c r="C120" s="122"/>
      <c r="D120" s="122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3"/>
      <c r="B121" s="113"/>
      <c r="C121" s="122"/>
      <c r="D121" s="122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3"/>
      <c r="B122" s="113"/>
      <c r="C122" s="122"/>
      <c r="D122" s="122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3"/>
      <c r="B123" s="113"/>
      <c r="C123" s="122"/>
      <c r="D123" s="122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3"/>
      <c r="B124" s="113"/>
      <c r="C124" s="122"/>
      <c r="D124" s="122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3"/>
      <c r="B125" s="113"/>
      <c r="C125" s="122"/>
      <c r="D125" s="122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3"/>
      <c r="B126" s="113"/>
      <c r="C126" s="122"/>
      <c r="D126" s="122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3"/>
      <c r="B127" s="113"/>
      <c r="C127" s="122"/>
      <c r="D127" s="122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13"/>
      <c r="B128" s="113"/>
      <c r="C128" s="122"/>
      <c r="D128" s="122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13"/>
      <c r="B129" s="113"/>
      <c r="C129" s="122"/>
      <c r="D129" s="122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13"/>
      <c r="B130" s="113"/>
      <c r="C130" s="122"/>
      <c r="D130" s="122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13"/>
      <c r="B131" s="113"/>
      <c r="C131" s="122"/>
      <c r="D131" s="122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13"/>
      <c r="B132" s="113"/>
      <c r="C132" s="122"/>
      <c r="D132" s="122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13"/>
      <c r="B133" s="113"/>
      <c r="C133" s="122"/>
      <c r="D133" s="122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113"/>
      <c r="B134" s="113"/>
      <c r="C134" s="122"/>
      <c r="D134" s="122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3"/>
      <c r="B135" s="113"/>
      <c r="C135" s="122"/>
      <c r="D135" s="122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13"/>
      <c r="B136" s="113"/>
      <c r="C136" s="122"/>
      <c r="D136" s="122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13"/>
      <c r="B137" s="113"/>
      <c r="C137" s="122"/>
      <c r="D137" s="122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3"/>
      <c r="B138" s="113"/>
      <c r="C138" s="122"/>
      <c r="D138" s="122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3"/>
      <c r="B139" s="113"/>
      <c r="C139" s="122"/>
      <c r="D139" s="122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3"/>
      <c r="B140" s="113"/>
      <c r="C140" s="122"/>
      <c r="D140" s="122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3"/>
      <c r="B141" s="113"/>
      <c r="C141" s="122"/>
      <c r="D141" s="122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3"/>
      <c r="B142" s="113"/>
      <c r="C142" s="122"/>
      <c r="D142" s="122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3"/>
      <c r="B143" s="113"/>
      <c r="C143" s="122"/>
      <c r="D143" s="122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3"/>
      <c r="B144" s="113"/>
      <c r="C144" s="122"/>
      <c r="D144" s="122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3"/>
      <c r="B145" s="113"/>
      <c r="C145" s="122"/>
      <c r="D145" s="122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3"/>
      <c r="B146" s="113"/>
      <c r="C146" s="122"/>
      <c r="D146" s="122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>
      <c r="A147" s="113"/>
      <c r="B147" s="113"/>
      <c r="C147" s="122"/>
      <c r="D147" s="122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>
      <c r="A148" s="113"/>
      <c r="B148" s="113"/>
      <c r="C148" s="122"/>
      <c r="D148" s="122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>
      <c r="A149" s="113"/>
      <c r="B149" s="113"/>
      <c r="C149" s="122"/>
      <c r="D149" s="122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>
      <c r="A150" s="113"/>
      <c r="B150" s="113"/>
      <c r="C150" s="122"/>
      <c r="D150" s="122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>
      <c r="A151" s="113"/>
      <c r="B151" s="113"/>
      <c r="C151" s="122"/>
      <c r="D151" s="122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>
      <c r="A152" s="113"/>
      <c r="B152" s="113"/>
      <c r="C152" s="122"/>
      <c r="D152" s="122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>
      <c r="A153" s="113"/>
      <c r="B153" s="113"/>
      <c r="C153" s="122"/>
      <c r="D153" s="122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>
      <c r="A154" s="113"/>
      <c r="B154" s="113"/>
      <c r="C154" s="122"/>
      <c r="D154" s="122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>
      <c r="A155" s="113"/>
      <c r="B155" s="113"/>
      <c r="C155" s="122"/>
      <c r="D155" s="122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>
      <c r="A156" s="113"/>
      <c r="B156" s="113"/>
      <c r="C156" s="122"/>
      <c r="D156" s="122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>
      <c r="A157" s="113"/>
      <c r="B157" s="113"/>
      <c r="C157" s="122"/>
      <c r="D157" s="122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>
      <c r="A158" s="113"/>
      <c r="B158" s="113"/>
      <c r="C158" s="122"/>
      <c r="D158" s="122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>
      <c r="A159" s="113"/>
      <c r="B159" s="113"/>
      <c r="C159" s="122"/>
      <c r="D159" s="122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>
      <c r="A160" s="113"/>
      <c r="B160" s="113"/>
      <c r="C160" s="122"/>
      <c r="D160" s="122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>
      <c r="A161" s="113"/>
      <c r="B161" s="113"/>
      <c r="C161" s="122"/>
      <c r="D161" s="122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>
      <c r="A162" s="113"/>
      <c r="B162" s="113"/>
      <c r="C162" s="122"/>
      <c r="D162" s="122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>
      <c r="A163" s="113"/>
      <c r="B163" s="113"/>
      <c r="C163" s="122"/>
      <c r="D163" s="122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>
      <c r="A164" s="113"/>
      <c r="B164" s="113"/>
      <c r="C164" s="122"/>
      <c r="D164" s="122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>
      <c r="A165" s="113"/>
      <c r="B165" s="113"/>
      <c r="C165" s="122"/>
      <c r="D165" s="122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>
      <c r="A166" s="113"/>
      <c r="B166" s="113"/>
      <c r="C166" s="122"/>
      <c r="D166" s="122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>
      <c r="A167" s="113"/>
      <c r="B167" s="113"/>
      <c r="C167" s="122"/>
      <c r="D167" s="122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>
      <c r="A168" s="113"/>
      <c r="B168" s="113"/>
      <c r="C168" s="122"/>
      <c r="D168" s="122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>
      <c r="A169" s="113"/>
      <c r="B169" s="113"/>
      <c r="C169" s="122"/>
      <c r="D169" s="122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>
      <c r="A170" s="113"/>
      <c r="B170" s="113"/>
      <c r="C170" s="122"/>
      <c r="D170" s="122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>
      <c r="A171" s="113"/>
      <c r="B171" s="113"/>
      <c r="C171" s="122"/>
      <c r="D171" s="122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>
      <c r="A172" s="113"/>
      <c r="B172" s="113"/>
      <c r="C172" s="122"/>
      <c r="D172" s="122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>
      <c r="A173" s="113"/>
      <c r="B173" s="113"/>
      <c r="C173" s="122"/>
      <c r="D173" s="122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>
      <c r="A174" s="113"/>
      <c r="B174" s="113"/>
      <c r="C174" s="122"/>
      <c r="D174" s="122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>
      <c r="A175" s="113"/>
      <c r="B175" s="113"/>
      <c r="C175" s="122"/>
      <c r="D175" s="122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>
      <c r="A176" s="113"/>
      <c r="B176" s="113"/>
      <c r="C176" s="122"/>
      <c r="D176" s="122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>
      <c r="A177" s="113"/>
      <c r="B177" s="113"/>
      <c r="C177" s="122"/>
      <c r="D177" s="122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>
      <c r="A178" s="113"/>
      <c r="B178" s="113"/>
      <c r="C178" s="122"/>
      <c r="D178" s="122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>
      <c r="A179" s="113"/>
      <c r="B179" s="113"/>
      <c r="C179" s="122"/>
      <c r="D179" s="122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>
      <c r="A180" s="113"/>
      <c r="B180" s="113"/>
      <c r="C180" s="122"/>
      <c r="D180" s="122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>
      <c r="A181" s="113"/>
      <c r="B181" s="113"/>
      <c r="C181" s="122"/>
      <c r="D181" s="122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>
      <c r="A182" s="113"/>
      <c r="B182" s="113"/>
      <c r="C182" s="122"/>
      <c r="D182" s="122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22"/>
      <c r="D183" s="122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22"/>
      <c r="D184" s="122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22"/>
      <c r="D185" s="122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22"/>
      <c r="D186" s="122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22"/>
      <c r="D187" s="122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22"/>
      <c r="D188" s="122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22"/>
      <c r="D189" s="122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22"/>
      <c r="D190" s="122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22"/>
      <c r="D191" s="122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22"/>
      <c r="D192" s="122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22"/>
      <c r="D193" s="122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22"/>
      <c r="D194" s="122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22"/>
      <c r="D195" s="122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22"/>
      <c r="D196" s="122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22"/>
      <c r="D197" s="122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22"/>
      <c r="D198" s="122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22"/>
      <c r="D199" s="122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22"/>
      <c r="D200" s="122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>
      <c r="A201" s="113"/>
      <c r="B201" s="113"/>
      <c r="C201" s="122"/>
      <c r="D201" s="122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>
      <c r="A202" s="113"/>
      <c r="B202" s="113"/>
      <c r="C202" s="122"/>
      <c r="D202" s="122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>
      <c r="A203" s="113"/>
      <c r="B203" s="113"/>
      <c r="C203" s="122"/>
      <c r="D203" s="122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>
      <c r="A204" s="113"/>
      <c r="B204" s="113"/>
      <c r="C204" s="122"/>
      <c r="D204" s="122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>
      <c r="A205" s="113"/>
      <c r="B205" s="113"/>
      <c r="C205" s="122"/>
      <c r="D205" s="122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>
      <c r="A206" s="113"/>
      <c r="B206" s="113"/>
      <c r="C206" s="122"/>
      <c r="D206" s="122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>
      <c r="A207" s="113"/>
      <c r="B207" s="113"/>
      <c r="C207" s="122"/>
      <c r="D207" s="122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>
      <c r="A208" s="113"/>
      <c r="B208" s="113"/>
      <c r="C208" s="122"/>
      <c r="D208" s="122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>
      <c r="A209" s="113"/>
      <c r="B209" s="113"/>
      <c r="C209" s="122"/>
      <c r="D209" s="122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>
      <c r="A210" s="113"/>
      <c r="B210" s="113"/>
      <c r="C210" s="122"/>
      <c r="D210" s="122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>
      <c r="A211" s="113"/>
      <c r="B211" s="113"/>
      <c r="C211" s="122"/>
      <c r="D211" s="122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>
      <c r="A212" s="113"/>
      <c r="B212" s="113"/>
      <c r="C212" s="122"/>
      <c r="D212" s="122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>
      <c r="A213" s="113"/>
      <c r="B213" s="113"/>
      <c r="C213" s="122"/>
      <c r="D213" s="122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>
      <c r="A214" s="113"/>
      <c r="B214" s="113"/>
      <c r="C214" s="122"/>
      <c r="D214" s="122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>
      <c r="A215" s="113"/>
      <c r="B215" s="113"/>
      <c r="C215" s="122"/>
      <c r="D215" s="122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>
      <c r="A216" s="113"/>
      <c r="B216" s="113"/>
      <c r="C216" s="122"/>
      <c r="D216" s="122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>
      <c r="A217" s="113"/>
      <c r="B217" s="113"/>
      <c r="C217" s="122"/>
      <c r="D217" s="122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>
      <c r="A218" s="113"/>
      <c r="B218" s="113"/>
      <c r="C218" s="122"/>
      <c r="D218" s="122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>
      <c r="A219" s="113"/>
      <c r="B219" s="113"/>
      <c r="C219" s="122"/>
      <c r="D219" s="122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>
      <c r="A220" s="113"/>
      <c r="B220" s="113"/>
      <c r="C220" s="122"/>
      <c r="D220" s="122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>
      <c r="A221" s="113"/>
      <c r="B221" s="113"/>
      <c r="C221" s="122"/>
      <c r="D221" s="122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>
      <c r="A222" s="113"/>
      <c r="B222" s="113"/>
      <c r="C222" s="122"/>
      <c r="D222" s="122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>
      <c r="A223" s="113"/>
      <c r="B223" s="113"/>
      <c r="C223" s="122"/>
      <c r="D223" s="122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>
      <c r="A224" s="113"/>
      <c r="B224" s="113"/>
      <c r="C224" s="122"/>
      <c r="D224" s="122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>
      <c r="A225" s="113"/>
      <c r="B225" s="113"/>
      <c r="C225" s="122"/>
      <c r="D225" s="122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>
      <c r="A226" s="113"/>
      <c r="B226" s="113"/>
      <c r="C226" s="122"/>
      <c r="D226" s="122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>
      <c r="A227" s="113"/>
      <c r="B227" s="113"/>
      <c r="C227" s="122"/>
      <c r="D227" s="122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>
      <c r="A228" s="113"/>
      <c r="B228" s="113"/>
      <c r="C228" s="122"/>
      <c r="D228" s="122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>
      <c r="A229" s="113"/>
      <c r="B229" s="113"/>
      <c r="C229" s="122"/>
      <c r="D229" s="122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>
      <c r="A230" s="113"/>
      <c r="B230" s="113"/>
      <c r="C230" s="122"/>
      <c r="D230" s="122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>
      <c r="A231" s="113"/>
      <c r="B231" s="113"/>
      <c r="C231" s="122"/>
      <c r="D231" s="122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>
      <c r="A232" s="113"/>
      <c r="B232" s="113"/>
      <c r="C232" s="122"/>
      <c r="D232" s="122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>
      <c r="A233" s="113"/>
      <c r="B233" s="113"/>
      <c r="C233" s="122"/>
      <c r="D233" s="122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>
      <c r="A234" s="113"/>
      <c r="B234" s="113"/>
      <c r="C234" s="122"/>
      <c r="D234" s="122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>
      <c r="A235" s="113"/>
      <c r="B235" s="113"/>
      <c r="C235" s="122"/>
      <c r="D235" s="122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>
      <c r="A236" s="113"/>
      <c r="B236" s="113"/>
      <c r="C236" s="122"/>
      <c r="D236" s="122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>
      <c r="A237" s="113"/>
      <c r="B237" s="113"/>
      <c r="C237" s="122"/>
      <c r="D237" s="122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>
      <c r="A238" s="113"/>
      <c r="B238" s="113"/>
      <c r="C238" s="122"/>
      <c r="D238" s="122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>
      <c r="A239" s="113"/>
      <c r="B239" s="113"/>
      <c r="C239" s="122"/>
      <c r="D239" s="122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>
      <c r="A240" s="113"/>
      <c r="B240" s="113"/>
      <c r="C240" s="122"/>
      <c r="D240" s="122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>
      <c r="A241" s="113"/>
      <c r="B241" s="113"/>
      <c r="C241" s="122"/>
      <c r="D241" s="122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>
      <c r="A242" s="113"/>
      <c r="B242" s="113"/>
      <c r="C242" s="122"/>
      <c r="D242" s="122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>
      <c r="A243" s="113"/>
      <c r="B243" s="113"/>
      <c r="C243" s="122"/>
      <c r="D243" s="122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>
      <c r="A244" s="113"/>
      <c r="B244" s="113"/>
      <c r="C244" s="122"/>
      <c r="D244" s="122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>
      <c r="A245" s="113"/>
      <c r="B245" s="113"/>
      <c r="C245" s="122"/>
      <c r="D245" s="122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>
      <c r="A246" s="113"/>
      <c r="B246" s="113"/>
      <c r="C246" s="122"/>
      <c r="D246" s="122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>
      <c r="A247" s="113"/>
      <c r="B247" s="113"/>
      <c r="C247" s="122"/>
      <c r="D247" s="122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>
      <c r="A248" s="113"/>
      <c r="B248" s="113"/>
      <c r="C248" s="122"/>
      <c r="D248" s="122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>
      <c r="A249" s="113"/>
      <c r="B249" s="113"/>
      <c r="C249" s="122"/>
      <c r="D249" s="122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>
      <c r="A250" s="113"/>
      <c r="B250" s="113"/>
      <c r="C250" s="122"/>
      <c r="D250" s="122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>
      <c r="A251" s="113"/>
      <c r="B251" s="113"/>
      <c r="C251" s="122"/>
      <c r="D251" s="122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>
      <c r="A252" s="113"/>
      <c r="B252" s="113"/>
      <c r="C252" s="122"/>
      <c r="D252" s="122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>
      <c r="A253" s="113"/>
      <c r="B253" s="113"/>
      <c r="C253" s="122"/>
      <c r="D253" s="122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>
      <c r="A254" s="113"/>
      <c r="B254" s="113"/>
      <c r="C254" s="122"/>
      <c r="D254" s="122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>
      <c r="A255" s="113"/>
      <c r="B255" s="113"/>
      <c r="C255" s="122"/>
      <c r="D255" s="122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>
      <c r="A256" s="113"/>
      <c r="B256" s="113"/>
      <c r="C256" s="122"/>
      <c r="D256" s="122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>
      <c r="A257" s="113"/>
      <c r="B257" s="113"/>
      <c r="C257" s="122"/>
      <c r="D257" s="122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>
      <c r="A258" s="113"/>
      <c r="B258" s="113"/>
      <c r="C258" s="122"/>
      <c r="D258" s="122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>
      <c r="A259" s="113"/>
      <c r="B259" s="113"/>
      <c r="C259" s="122"/>
      <c r="D259" s="122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>
      <c r="A260" s="113"/>
      <c r="B260" s="113"/>
      <c r="C260" s="122"/>
      <c r="D260" s="122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>
      <c r="A261" s="113"/>
      <c r="B261" s="113"/>
      <c r="C261" s="122"/>
      <c r="D261" s="122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>
      <c r="A262" s="113"/>
      <c r="B262" s="113"/>
      <c r="C262" s="122"/>
      <c r="D262" s="122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>
      <c r="A263" s="113"/>
      <c r="B263" s="113"/>
      <c r="C263" s="122"/>
      <c r="D263" s="122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>
      <c r="A264" s="113"/>
      <c r="B264" s="113"/>
      <c r="C264" s="122"/>
      <c r="D264" s="122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>
      <c r="A265" s="113"/>
      <c r="B265" s="113"/>
      <c r="C265" s="122"/>
      <c r="D265" s="122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>
      <c r="A266" s="113"/>
      <c r="B266" s="113"/>
      <c r="C266" s="122"/>
      <c r="D266" s="122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>
      <c r="A267" s="113"/>
      <c r="B267" s="113"/>
      <c r="C267" s="122"/>
      <c r="D267" s="122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>
      <c r="A268" s="113"/>
      <c r="B268" s="113"/>
      <c r="C268" s="122"/>
      <c r="D268" s="122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>
      <c r="A269" s="113"/>
      <c r="B269" s="113"/>
      <c r="C269" s="122"/>
      <c r="D269" s="122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>
      <c r="A270" s="113"/>
      <c r="B270" s="113"/>
      <c r="C270" s="122"/>
      <c r="D270" s="122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>
      <c r="A271" s="113"/>
      <c r="B271" s="113"/>
      <c r="C271" s="122"/>
      <c r="D271" s="122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>
      <c r="A272" s="113"/>
      <c r="B272" s="113"/>
      <c r="C272" s="122"/>
      <c r="D272" s="122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>
      <c r="A273" s="113"/>
      <c r="B273" s="113"/>
      <c r="C273" s="122"/>
      <c r="D273" s="122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>
      <c r="A274" s="113"/>
      <c r="B274" s="113"/>
      <c r="C274" s="122"/>
      <c r="D274" s="122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>
      <c r="A275" s="113"/>
      <c r="B275" s="113"/>
      <c r="C275" s="122"/>
      <c r="D275" s="122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>
      <c r="A276" s="113"/>
      <c r="B276" s="113"/>
      <c r="C276" s="122"/>
      <c r="D276" s="122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>
      <c r="A277" s="113"/>
      <c r="B277" s="113"/>
      <c r="C277" s="122"/>
      <c r="D277" s="122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>
      <c r="A278" s="113"/>
      <c r="B278" s="113"/>
      <c r="C278" s="122"/>
      <c r="D278" s="122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>
      <c r="A279" s="113"/>
      <c r="B279" s="113"/>
      <c r="C279" s="122"/>
      <c r="D279" s="122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>
      <c r="A280" s="113"/>
      <c r="B280" s="113"/>
      <c r="C280" s="122"/>
      <c r="D280" s="122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>
      <c r="A281" s="113"/>
      <c r="B281" s="113"/>
      <c r="C281" s="122"/>
      <c r="D281" s="122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>
      <c r="A282" s="113"/>
      <c r="B282" s="113"/>
      <c r="C282" s="122"/>
      <c r="D282" s="122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>
      <c r="A283" s="113"/>
      <c r="B283" s="113"/>
      <c r="C283" s="122"/>
      <c r="D283" s="122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>
      <c r="A284" s="113"/>
      <c r="B284" s="113"/>
      <c r="C284" s="122"/>
      <c r="D284" s="122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>
      <c r="A285" s="113"/>
      <c r="B285" s="113"/>
      <c r="C285" s="122"/>
      <c r="D285" s="122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>
      <c r="A286" s="113"/>
      <c r="B286" s="113"/>
      <c r="C286" s="122"/>
      <c r="D286" s="122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>
      <c r="A287" s="113"/>
      <c r="B287" s="113"/>
      <c r="C287" s="122"/>
      <c r="D287" s="122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>
      <c r="A288" s="113"/>
      <c r="B288" s="113"/>
      <c r="C288" s="122"/>
      <c r="D288" s="122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>
      <c r="A289" s="113"/>
      <c r="B289" s="113"/>
      <c r="C289" s="122"/>
      <c r="D289" s="122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>
      <c r="A290" s="113"/>
      <c r="B290" s="113"/>
      <c r="C290" s="122"/>
      <c r="D290" s="122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>
      <c r="A291" s="113"/>
      <c r="B291" s="113"/>
      <c r="C291" s="122"/>
      <c r="D291" s="122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>
      <c r="A292" s="113"/>
      <c r="B292" s="113"/>
      <c r="C292" s="122"/>
      <c r="D292" s="122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>
      <c r="A293" s="113"/>
      <c r="B293" s="113"/>
      <c r="C293" s="122"/>
      <c r="D293" s="122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>
      <c r="A294" s="113"/>
      <c r="B294" s="113"/>
      <c r="C294" s="122"/>
      <c r="D294" s="122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>
      <c r="A295" s="113"/>
      <c r="B295" s="113"/>
      <c r="C295" s="122"/>
      <c r="D295" s="122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>
      <c r="A296" s="113"/>
      <c r="B296" s="113"/>
      <c r="C296" s="122"/>
      <c r="D296" s="122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>
      <c r="A297" s="113"/>
      <c r="B297" s="113"/>
      <c r="C297" s="122"/>
      <c r="D297" s="122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>
      <c r="A298" s="113"/>
      <c r="B298" s="113"/>
      <c r="C298" s="122"/>
      <c r="D298" s="122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>
      <c r="A299" s="113"/>
      <c r="B299" s="113"/>
      <c r="C299" s="122"/>
      <c r="D299" s="122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>
      <c r="A300" s="113"/>
      <c r="B300" s="113"/>
      <c r="C300" s="122"/>
      <c r="D300" s="122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>
      <c r="A301" s="113"/>
      <c r="B301" s="113"/>
      <c r="C301" s="122"/>
      <c r="D301" s="122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>
      <c r="A302" s="113"/>
      <c r="B302" s="113"/>
      <c r="C302" s="122"/>
      <c r="D302" s="122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>
      <c r="A303" s="113"/>
      <c r="B303" s="113"/>
      <c r="C303" s="122"/>
      <c r="D303" s="122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>
      <c r="A304" s="113"/>
      <c r="B304" s="113"/>
      <c r="C304" s="122"/>
      <c r="D304" s="122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>
      <c r="A305" s="113"/>
      <c r="B305" s="113"/>
      <c r="C305" s="122"/>
      <c r="D305" s="122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>
      <c r="A306" s="113"/>
      <c r="B306" s="113"/>
      <c r="C306" s="122"/>
      <c r="D306" s="122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>
      <c r="A307" s="113"/>
      <c r="B307" s="113"/>
      <c r="C307" s="122"/>
      <c r="D307" s="122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>
      <c r="A308" s="113"/>
      <c r="B308" s="113"/>
      <c r="C308" s="122"/>
      <c r="D308" s="122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>
      <c r="A309" s="113"/>
      <c r="B309" s="113"/>
      <c r="C309" s="122"/>
      <c r="D309" s="122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>
      <c r="A310" s="113"/>
      <c r="B310" s="113"/>
      <c r="C310" s="122"/>
      <c r="D310" s="122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>
      <c r="A311" s="113"/>
      <c r="B311" s="113"/>
      <c r="C311" s="122"/>
      <c r="D311" s="122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>
      <c r="A312" s="113"/>
      <c r="B312" s="113"/>
      <c r="C312" s="122"/>
      <c r="D312" s="122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>
      <c r="A313" s="113"/>
      <c r="B313" s="113"/>
      <c r="C313" s="122"/>
      <c r="D313" s="122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>
      <c r="A314" s="113"/>
      <c r="B314" s="113"/>
      <c r="C314" s="122"/>
      <c r="D314" s="122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>
      <c r="A315" s="113"/>
      <c r="B315" s="113"/>
      <c r="C315" s="122"/>
      <c r="D315" s="122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>
      <c r="A316" s="113"/>
      <c r="B316" s="113"/>
      <c r="C316" s="122"/>
      <c r="D316" s="122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>
      <c r="A317" s="113"/>
      <c r="B317" s="113"/>
      <c r="C317" s="122"/>
      <c r="D317" s="122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>
      <c r="A318" s="113"/>
      <c r="B318" s="113"/>
      <c r="C318" s="122"/>
      <c r="D318" s="122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>
      <c r="A319" s="113"/>
      <c r="B319" s="113"/>
      <c r="C319" s="122"/>
      <c r="D319" s="122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>
      <c r="A320" s="113"/>
      <c r="B320" s="113"/>
      <c r="C320" s="122"/>
      <c r="D320" s="122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>
      <c r="A321" s="113"/>
      <c r="B321" s="113"/>
      <c r="C321" s="122"/>
      <c r="D321" s="122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>
      <c r="A322" s="113"/>
      <c r="B322" s="113"/>
      <c r="C322" s="122"/>
      <c r="D322" s="122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>
      <c r="A323" s="113"/>
      <c r="B323" s="113"/>
      <c r="C323" s="122"/>
      <c r="D323" s="122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>
      <c r="A324" s="113"/>
      <c r="B324" s="113"/>
      <c r="C324" s="122"/>
      <c r="D324" s="122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>
      <c r="A325" s="113"/>
      <c r="B325" s="113"/>
      <c r="C325" s="122"/>
      <c r="D325" s="122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>
      <c r="A326" s="113"/>
      <c r="B326" s="113"/>
      <c r="C326" s="122"/>
      <c r="D326" s="122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>
      <c r="A327" s="113"/>
      <c r="B327" s="113"/>
      <c r="C327" s="122"/>
      <c r="D327" s="122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>
      <c r="A328" s="113"/>
      <c r="B328" s="113"/>
      <c r="C328" s="122"/>
      <c r="D328" s="122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>
      <c r="A329" s="113"/>
      <c r="B329" s="113"/>
      <c r="C329" s="122"/>
      <c r="D329" s="122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>
      <c r="A330" s="113"/>
      <c r="B330" s="113"/>
      <c r="C330" s="122"/>
      <c r="D330" s="122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>
      <c r="A331" s="113"/>
      <c r="B331" s="113"/>
      <c r="C331" s="122"/>
      <c r="D331" s="122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>
      <c r="A332" s="113"/>
      <c r="B332" s="113"/>
      <c r="C332" s="122"/>
      <c r="D332" s="122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>
      <c r="A333" s="113"/>
      <c r="B333" s="113"/>
      <c r="C333" s="122"/>
      <c r="D333" s="122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>
      <c r="A334" s="113"/>
      <c r="B334" s="113"/>
      <c r="C334" s="122"/>
      <c r="D334" s="122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>
      <c r="A335" s="113"/>
      <c r="B335" s="113"/>
      <c r="C335" s="122"/>
      <c r="D335" s="122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>
      <c r="A336" s="113"/>
      <c r="B336" s="113"/>
      <c r="C336" s="122"/>
      <c r="D336" s="122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>
      <c r="A337" s="113"/>
      <c r="B337" s="113"/>
      <c r="C337" s="122"/>
      <c r="D337" s="122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>
      <c r="A338" s="113"/>
      <c r="B338" s="113"/>
      <c r="C338" s="122"/>
      <c r="D338" s="122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>
      <c r="A339" s="113"/>
      <c r="B339" s="113"/>
      <c r="C339" s="122"/>
      <c r="D339" s="122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>
      <c r="A340" s="113"/>
      <c r="B340" s="113"/>
      <c r="C340" s="122"/>
      <c r="D340" s="122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>
      <c r="A341" s="113"/>
      <c r="B341" s="113"/>
      <c r="C341" s="122"/>
      <c r="D341" s="122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>
      <c r="A342" s="113"/>
      <c r="B342" s="113"/>
      <c r="C342" s="122"/>
      <c r="D342" s="122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>
      <c r="A343" s="113"/>
      <c r="B343" s="113"/>
      <c r="C343" s="122"/>
      <c r="D343" s="122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>
      <c r="A344" s="113"/>
      <c r="B344" s="113"/>
      <c r="C344" s="122"/>
      <c r="D344" s="122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>
      <c r="A345" s="113"/>
      <c r="B345" s="113"/>
      <c r="C345" s="122"/>
      <c r="D345" s="122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>
      <c r="A346" s="113"/>
      <c r="B346" s="113"/>
      <c r="C346" s="122"/>
      <c r="D346" s="122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>
      <c r="A347" s="113"/>
      <c r="B347" s="113"/>
      <c r="C347" s="122"/>
      <c r="D347" s="122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>
      <c r="A348" s="113"/>
      <c r="B348" s="113"/>
      <c r="C348" s="122"/>
      <c r="D348" s="122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>
      <c r="A349" s="113"/>
      <c r="B349" s="113"/>
      <c r="C349" s="122"/>
      <c r="D349" s="122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>
      <c r="A350" s="113"/>
      <c r="B350" s="113"/>
      <c r="C350" s="122"/>
      <c r="D350" s="122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>
      <c r="A351" s="113"/>
      <c r="B351" s="113"/>
      <c r="C351" s="122"/>
      <c r="D351" s="122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>
      <c r="A352" s="113"/>
      <c r="B352" s="113"/>
      <c r="C352" s="122"/>
      <c r="D352" s="122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>
      <c r="A353" s="113"/>
      <c r="B353" s="113"/>
      <c r="C353" s="122"/>
      <c r="D353" s="122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>
      <c r="A354" s="113"/>
      <c r="B354" s="113"/>
      <c r="C354" s="122"/>
      <c r="D354" s="122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>
      <c r="A355" s="113"/>
      <c r="B355" s="113"/>
      <c r="C355" s="122"/>
      <c r="D355" s="122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>
      <c r="A356" s="113"/>
      <c r="B356" s="113"/>
      <c r="C356" s="122"/>
      <c r="D356" s="122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>
      <c r="A357" s="113"/>
      <c r="B357" s="113"/>
      <c r="C357" s="122"/>
      <c r="D357" s="122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>
      <c r="A358" s="113"/>
      <c r="B358" s="113"/>
      <c r="C358" s="122"/>
      <c r="D358" s="122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>
      <c r="A359" s="113"/>
      <c r="B359" s="113"/>
      <c r="C359" s="122"/>
      <c r="D359" s="122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>
      <c r="A360" s="113"/>
      <c r="B360" s="113"/>
      <c r="C360" s="122"/>
      <c r="D360" s="122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>
      <c r="A361" s="113"/>
      <c r="B361" s="113"/>
      <c r="C361" s="122"/>
      <c r="D361" s="122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>
      <c r="A362" s="113"/>
      <c r="B362" s="113"/>
      <c r="C362" s="122"/>
      <c r="D362" s="122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>
      <c r="A363" s="113"/>
      <c r="B363" s="113"/>
      <c r="C363" s="122"/>
      <c r="D363" s="122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>
      <c r="A364" s="113"/>
      <c r="B364" s="113"/>
      <c r="C364" s="122"/>
      <c r="D364" s="122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>
      <c r="A365" s="113"/>
      <c r="B365" s="113"/>
      <c r="C365" s="122"/>
      <c r="D365" s="122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>
      <c r="A366" s="113"/>
      <c r="B366" s="113"/>
      <c r="C366" s="122"/>
      <c r="D366" s="122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>
      <c r="A367" s="113"/>
      <c r="B367" s="113"/>
      <c r="C367" s="122"/>
      <c r="D367" s="122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>
      <c r="A368" s="113"/>
      <c r="B368" s="113"/>
      <c r="C368" s="122"/>
      <c r="D368" s="122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>
      <c r="A369" s="113"/>
      <c r="B369" s="113"/>
      <c r="C369" s="122"/>
      <c r="D369" s="122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>
      <c r="A370" s="113"/>
      <c r="B370" s="113"/>
      <c r="C370" s="122"/>
      <c r="D370" s="122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>
      <c r="A371" s="113"/>
      <c r="B371" s="113"/>
      <c r="C371" s="122"/>
      <c r="D371" s="122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>
      <c r="A372" s="113"/>
      <c r="B372" s="113"/>
      <c r="C372" s="122"/>
      <c r="D372" s="122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>
      <c r="A373" s="113"/>
      <c r="B373" s="113"/>
      <c r="C373" s="122"/>
      <c r="D373" s="122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>
      <c r="A374" s="113"/>
      <c r="B374" s="113"/>
      <c r="C374" s="122"/>
      <c r="D374" s="122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>
      <c r="A375" s="113"/>
      <c r="B375" s="113"/>
      <c r="C375" s="122"/>
      <c r="D375" s="122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>
      <c r="A376" s="113"/>
      <c r="B376" s="113"/>
      <c r="C376" s="122"/>
      <c r="D376" s="122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>
      <c r="A377" s="113"/>
      <c r="B377" s="113"/>
      <c r="C377" s="122"/>
      <c r="D377" s="122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>
      <c r="A378" s="113"/>
      <c r="B378" s="113"/>
      <c r="C378" s="122"/>
      <c r="D378" s="122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>
      <c r="A379" s="113"/>
      <c r="B379" s="113"/>
      <c r="C379" s="122"/>
      <c r="D379" s="122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>
      <c r="A380" s="113"/>
      <c r="B380" s="113"/>
      <c r="C380" s="122"/>
      <c r="D380" s="122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>
      <c r="A381" s="113"/>
      <c r="B381" s="113"/>
      <c r="C381" s="122"/>
      <c r="D381" s="122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>
      <c r="A382" s="113"/>
      <c r="B382" s="113"/>
      <c r="C382" s="122"/>
      <c r="D382" s="122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>
      <c r="A383" s="113"/>
      <c r="B383" s="113"/>
      <c r="C383" s="122"/>
      <c r="D383" s="122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>
      <c r="A384" s="113"/>
      <c r="B384" s="113"/>
      <c r="C384" s="122"/>
      <c r="D384" s="122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>
      <c r="A385" s="113"/>
      <c r="B385" s="113"/>
      <c r="C385" s="122"/>
      <c r="D385" s="122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>
      <c r="A386" s="113"/>
      <c r="B386" s="113"/>
      <c r="C386" s="122"/>
      <c r="D386" s="122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>
      <c r="A387" s="113"/>
      <c r="B387" s="113"/>
      <c r="C387" s="122"/>
      <c r="D387" s="122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>
      <c r="A388" s="113"/>
      <c r="B388" s="113"/>
      <c r="C388" s="122"/>
      <c r="D388" s="122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>
      <c r="A389" s="113"/>
      <c r="B389" s="113"/>
      <c r="C389" s="122"/>
      <c r="D389" s="122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>
      <c r="A390" s="113"/>
      <c r="B390" s="113"/>
      <c r="C390" s="122"/>
      <c r="D390" s="122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>
      <c r="A391" s="113"/>
      <c r="B391" s="113"/>
      <c r="C391" s="122"/>
      <c r="D391" s="122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>
      <c r="A392" s="113"/>
      <c r="B392" s="113"/>
      <c r="C392" s="122"/>
      <c r="D392" s="122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>
      <c r="A393" s="113"/>
      <c r="B393" s="113"/>
      <c r="C393" s="122"/>
      <c r="D393" s="122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>
      <c r="A394" s="113"/>
      <c r="B394" s="113"/>
      <c r="C394" s="122"/>
      <c r="D394" s="122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>
      <c r="A395" s="113"/>
      <c r="B395" s="113"/>
      <c r="C395" s="122"/>
      <c r="D395" s="122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>
      <c r="A396" s="113"/>
      <c r="B396" s="113"/>
      <c r="C396" s="122"/>
      <c r="D396" s="122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>
      <c r="A397" s="113"/>
      <c r="B397" s="113"/>
      <c r="C397" s="122"/>
      <c r="D397" s="122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>
      <c r="A398" s="113"/>
      <c r="B398" s="113"/>
      <c r="C398" s="122"/>
      <c r="D398" s="122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>
      <c r="A399" s="113"/>
      <c r="B399" s="113"/>
      <c r="C399" s="122"/>
      <c r="D399" s="122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>
      <c r="A400" s="113"/>
      <c r="B400" s="113"/>
      <c r="C400" s="122"/>
      <c r="D400" s="122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>
      <c r="A401" s="113"/>
      <c r="B401" s="113"/>
      <c r="C401" s="122"/>
      <c r="D401" s="122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>
      <c r="A402" s="113"/>
      <c r="B402" s="113"/>
      <c r="C402" s="122"/>
      <c r="D402" s="122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>
      <c r="A403" s="113"/>
      <c r="B403" s="113"/>
      <c r="C403" s="122"/>
      <c r="D403" s="122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>
      <c r="A404" s="113"/>
      <c r="B404" s="113"/>
      <c r="C404" s="122"/>
      <c r="D404" s="122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>
      <c r="A405" s="113"/>
      <c r="B405" s="113"/>
      <c r="C405" s="122"/>
      <c r="D405" s="122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>
      <c r="A406" s="113"/>
      <c r="B406" s="113"/>
      <c r="C406" s="122"/>
      <c r="D406" s="122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>
      <c r="A407" s="113"/>
      <c r="B407" s="113"/>
      <c r="C407" s="122"/>
      <c r="D407" s="122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>
      <c r="A408" s="113"/>
      <c r="B408" s="113"/>
      <c r="C408" s="122"/>
      <c r="D408" s="122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>
      <c r="A409" s="113"/>
      <c r="B409" s="113"/>
      <c r="C409" s="122"/>
      <c r="D409" s="122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>
      <c r="A410" s="113"/>
      <c r="B410" s="113"/>
      <c r="C410" s="122"/>
      <c r="D410" s="122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>
      <c r="A411" s="113"/>
      <c r="B411" s="113"/>
      <c r="C411" s="122"/>
      <c r="D411" s="122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>
      <c r="A412" s="113"/>
      <c r="B412" s="113"/>
      <c r="C412" s="122"/>
      <c r="D412" s="122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>
      <c r="A413" s="113"/>
      <c r="B413" s="113"/>
      <c r="C413" s="122"/>
      <c r="D413" s="122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>
      <c r="A414" s="113"/>
      <c r="B414" s="113"/>
      <c r="C414" s="122"/>
      <c r="D414" s="122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>
      <c r="A415" s="113"/>
      <c r="B415" s="113"/>
      <c r="C415" s="122"/>
      <c r="D415" s="122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>
      <c r="A416" s="113"/>
      <c r="B416" s="113"/>
      <c r="C416" s="122"/>
      <c r="D416" s="122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>
      <c r="A417" s="113"/>
      <c r="B417" s="113"/>
      <c r="C417" s="122"/>
      <c r="D417" s="122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>
      <c r="A418" s="113"/>
      <c r="B418" s="113"/>
      <c r="C418" s="122"/>
      <c r="D418" s="122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>
      <c r="A419" s="113"/>
      <c r="B419" s="113"/>
      <c r="C419" s="122"/>
      <c r="D419" s="122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>
      <c r="A420" s="113"/>
      <c r="B420" s="113"/>
      <c r="C420" s="122"/>
      <c r="D420" s="122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>
      <c r="A421" s="113"/>
      <c r="B421" s="113"/>
      <c r="C421" s="122"/>
      <c r="D421" s="122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>
      <c r="A422" s="113"/>
      <c r="B422" s="113"/>
      <c r="C422" s="122"/>
      <c r="D422" s="122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>
      <c r="A423" s="113"/>
      <c r="B423" s="113"/>
      <c r="C423" s="122"/>
      <c r="D423" s="122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>
      <c r="A424" s="113"/>
      <c r="B424" s="113"/>
      <c r="C424" s="122"/>
      <c r="D424" s="122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>
      <c r="A425" s="113"/>
      <c r="B425" s="113"/>
      <c r="C425" s="122"/>
      <c r="D425" s="122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>
      <c r="A426" s="113"/>
      <c r="B426" s="113"/>
      <c r="C426" s="122"/>
      <c r="D426" s="122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>
      <c r="A427" s="113"/>
      <c r="B427" s="113"/>
      <c r="C427" s="122"/>
      <c r="D427" s="122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>
      <c r="A428" s="113"/>
      <c r="B428" s="113"/>
      <c r="C428" s="122"/>
      <c r="D428" s="122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>
      <c r="A429" s="113"/>
      <c r="B429" s="113"/>
      <c r="C429" s="122"/>
      <c r="D429" s="122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>
      <c r="A430" s="113"/>
      <c r="B430" s="113"/>
      <c r="C430" s="122"/>
      <c r="D430" s="122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>
      <c r="A431" s="113"/>
      <c r="B431" s="113"/>
      <c r="C431" s="122"/>
      <c r="D431" s="122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>
      <c r="A432" s="113"/>
      <c r="B432" s="113"/>
      <c r="C432" s="122"/>
      <c r="D432" s="122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>
      <c r="A433" s="113"/>
      <c r="B433" s="113"/>
      <c r="C433" s="122"/>
      <c r="D433" s="122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>
      <c r="A434" s="113"/>
      <c r="B434" s="113"/>
      <c r="C434" s="122"/>
      <c r="D434" s="122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>
      <c r="A435" s="113"/>
      <c r="B435" s="113"/>
      <c r="C435" s="122"/>
      <c r="D435" s="122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>
      <c r="A436" s="113"/>
      <c r="B436" s="113"/>
      <c r="C436" s="122"/>
      <c r="D436" s="122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>
      <c r="A437" s="113"/>
      <c r="B437" s="113"/>
      <c r="C437" s="122"/>
      <c r="D437" s="122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>
      <c r="A438" s="113"/>
      <c r="B438" s="113"/>
      <c r="C438" s="122"/>
      <c r="D438" s="122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>
      <c r="A439" s="113"/>
      <c r="B439" s="113"/>
      <c r="C439" s="122"/>
      <c r="D439" s="122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>
      <c r="A440" s="113"/>
      <c r="B440" s="113"/>
      <c r="C440" s="122"/>
      <c r="D440" s="122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>
      <c r="A441" s="113"/>
      <c r="B441" s="113"/>
      <c r="C441" s="122"/>
      <c r="D441" s="122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>
      <c r="A442" s="113"/>
      <c r="B442" s="113"/>
      <c r="C442" s="122"/>
      <c r="D442" s="122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>
      <c r="A443" s="113"/>
      <c r="B443" s="113"/>
      <c r="C443" s="122"/>
      <c r="D443" s="122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>
      <c r="A444" s="113"/>
      <c r="B444" s="113"/>
      <c r="C444" s="122"/>
      <c r="D444" s="122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>
      <c r="A445" s="113"/>
      <c r="B445" s="113"/>
      <c r="C445" s="122"/>
      <c r="D445" s="122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>
      <c r="A446" s="113"/>
      <c r="B446" s="113"/>
      <c r="C446" s="122"/>
      <c r="D446" s="122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>
      <c r="A447" s="113"/>
      <c r="B447" s="113"/>
      <c r="C447" s="122"/>
      <c r="D447" s="122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>
      <c r="A448" s="113"/>
      <c r="B448" s="113"/>
      <c r="C448" s="122"/>
      <c r="D448" s="122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>
      <c r="A449" s="113"/>
      <c r="B449" s="113"/>
      <c r="C449" s="122"/>
      <c r="D449" s="122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>
      <c r="A450" s="113"/>
      <c r="B450" s="113"/>
      <c r="C450" s="122"/>
      <c r="D450" s="122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>
      <c r="A451" s="113"/>
      <c r="B451" s="113"/>
      <c r="C451" s="122"/>
      <c r="D451" s="122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>
      <c r="A452" s="113"/>
      <c r="B452" s="113"/>
      <c r="C452" s="122"/>
      <c r="D452" s="122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>
      <c r="A453" s="113"/>
      <c r="B453" s="113"/>
      <c r="C453" s="122"/>
      <c r="D453" s="122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>
      <c r="A454" s="113"/>
      <c r="B454" s="113"/>
      <c r="C454" s="122"/>
      <c r="D454" s="122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>
      <c r="A455" s="113"/>
      <c r="B455" s="113"/>
      <c r="C455" s="122"/>
      <c r="D455" s="122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>
      <c r="A456" s="113"/>
      <c r="B456" s="113"/>
      <c r="C456" s="122"/>
      <c r="D456" s="122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>
      <c r="A457" s="113"/>
      <c r="B457" s="113"/>
      <c r="C457" s="122"/>
      <c r="D457" s="122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>
      <c r="A458" s="113"/>
      <c r="B458" s="113"/>
      <c r="C458" s="122"/>
      <c r="D458" s="122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>
      <c r="A459" s="113"/>
      <c r="B459" s="113"/>
      <c r="C459" s="122"/>
      <c r="D459" s="122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>
      <c r="A460" s="113"/>
      <c r="B460" s="113"/>
      <c r="C460" s="122"/>
      <c r="D460" s="122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>
      <c r="A461" s="113"/>
      <c r="B461" s="113"/>
      <c r="C461" s="122"/>
      <c r="D461" s="122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>
      <c r="A462" s="113"/>
      <c r="B462" s="113"/>
      <c r="C462" s="122"/>
      <c r="D462" s="122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>
      <c r="A463" s="113"/>
      <c r="B463" s="113"/>
      <c r="C463" s="122"/>
      <c r="D463" s="122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>
      <c r="A464" s="113"/>
      <c r="B464" s="113"/>
      <c r="C464" s="122"/>
      <c r="D464" s="122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>
      <c r="A465" s="113"/>
      <c r="B465" s="113"/>
      <c r="C465" s="122"/>
      <c r="D465" s="122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>
      <c r="A466" s="113"/>
      <c r="B466" s="113"/>
      <c r="C466" s="122"/>
      <c r="D466" s="122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>
      <c r="A467" s="113"/>
      <c r="B467" s="113"/>
      <c r="C467" s="122"/>
      <c r="D467" s="122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>
      <c r="A468" s="113"/>
      <c r="B468" s="113"/>
      <c r="C468" s="122"/>
      <c r="D468" s="122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>
      <c r="A469" s="113"/>
      <c r="B469" s="113"/>
      <c r="C469" s="122"/>
      <c r="D469" s="122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>
      <c r="A470" s="113"/>
      <c r="B470" s="113"/>
      <c r="C470" s="122"/>
      <c r="D470" s="122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>
      <c r="A471" s="113"/>
      <c r="B471" s="113"/>
      <c r="C471" s="122"/>
      <c r="D471" s="122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>
      <c r="A472" s="113"/>
      <c r="B472" s="113"/>
      <c r="C472" s="122"/>
      <c r="D472" s="122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>
      <c r="A473" s="113"/>
      <c r="B473" s="113"/>
      <c r="C473" s="122"/>
      <c r="D473" s="122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>
      <c r="A474" s="113"/>
      <c r="B474" s="113"/>
      <c r="C474" s="122"/>
      <c r="D474" s="122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>
      <c r="A475" s="113"/>
      <c r="B475" s="113"/>
      <c r="C475" s="122"/>
      <c r="D475" s="122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>
      <c r="A476" s="113"/>
      <c r="B476" s="113"/>
      <c r="C476" s="122"/>
      <c r="D476" s="122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>
      <c r="A477" s="113"/>
      <c r="B477" s="113"/>
      <c r="C477" s="122"/>
      <c r="D477" s="122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>
      <c r="A478" s="113"/>
      <c r="B478" s="113"/>
      <c r="C478" s="122"/>
      <c r="D478" s="122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>
      <c r="A479" s="113"/>
      <c r="B479" s="113"/>
      <c r="C479" s="122"/>
      <c r="D479" s="122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>
      <c r="A480" s="113"/>
      <c r="B480" s="113"/>
      <c r="C480" s="122"/>
      <c r="D480" s="122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>
      <c r="A481" s="113"/>
      <c r="B481" s="113"/>
      <c r="C481" s="122"/>
      <c r="D481" s="122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>
      <c r="A482" s="113"/>
      <c r="B482" s="113"/>
      <c r="C482" s="122"/>
      <c r="D482" s="122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>
      <c r="A483" s="113"/>
      <c r="B483" s="113"/>
      <c r="C483" s="122"/>
      <c r="D483" s="122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>
      <c r="A484" s="113"/>
      <c r="B484" s="113"/>
      <c r="C484" s="122"/>
      <c r="D484" s="122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>
      <c r="A485" s="113"/>
      <c r="B485" s="113"/>
      <c r="C485" s="122"/>
      <c r="D485" s="122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>
      <c r="A486" s="113"/>
      <c r="B486" s="113"/>
      <c r="C486" s="122"/>
      <c r="D486" s="122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>
      <c r="A487" s="113"/>
      <c r="B487" s="113"/>
      <c r="C487" s="122"/>
      <c r="D487" s="122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>
      <c r="A488" s="113"/>
      <c r="B488" s="113"/>
      <c r="C488" s="122"/>
      <c r="D488" s="122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>
      <c r="A489" s="113"/>
      <c r="B489" s="113"/>
      <c r="C489" s="122"/>
      <c r="D489" s="122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>
      <c r="A490" s="113"/>
      <c r="B490" s="113"/>
      <c r="C490" s="122"/>
      <c r="D490" s="122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>
      <c r="A491" s="113"/>
      <c r="B491" s="113"/>
      <c r="C491" s="122"/>
      <c r="D491" s="122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>
      <c r="A492" s="113"/>
      <c r="B492" s="113"/>
      <c r="C492" s="122"/>
      <c r="D492" s="122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>
      <c r="A493" s="113"/>
      <c r="B493" s="113"/>
      <c r="C493" s="122"/>
      <c r="D493" s="122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>
      <c r="A494" s="113"/>
      <c r="B494" s="113"/>
      <c r="C494" s="122"/>
      <c r="D494" s="122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>
      <c r="A495" s="113"/>
      <c r="B495" s="113"/>
      <c r="C495" s="122"/>
      <c r="D495" s="122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>
      <c r="A496" s="113"/>
      <c r="B496" s="113"/>
      <c r="C496" s="122"/>
      <c r="D496" s="122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>
      <c r="A497" s="113"/>
      <c r="B497" s="113"/>
      <c r="C497" s="122"/>
      <c r="D497" s="122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>
      <c r="A498" s="113"/>
      <c r="B498" s="113"/>
      <c r="C498" s="122"/>
      <c r="D498" s="122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>
      <c r="A499" s="113"/>
      <c r="B499" s="113"/>
      <c r="C499" s="122"/>
      <c r="D499" s="122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>
      <c r="A500" s="113"/>
      <c r="B500" s="113"/>
      <c r="C500" s="122"/>
      <c r="D500" s="122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>
      <c r="A501" s="113"/>
      <c r="B501" s="113"/>
      <c r="C501" s="122"/>
      <c r="D501" s="122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>
      <c r="A502" s="113"/>
      <c r="B502" s="113"/>
      <c r="C502" s="122"/>
      <c r="D502" s="122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>
      <c r="A503" s="113"/>
      <c r="B503" s="113"/>
      <c r="C503" s="122"/>
      <c r="D503" s="122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>
      <c r="A504" s="113"/>
      <c r="B504" s="113"/>
      <c r="C504" s="122"/>
      <c r="D504" s="122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>
      <c r="A505" s="113"/>
      <c r="B505" s="113"/>
      <c r="C505" s="122"/>
      <c r="D505" s="122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>
      <c r="A506" s="113"/>
      <c r="B506" s="113"/>
      <c r="C506" s="122"/>
      <c r="D506" s="122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>
      <c r="A507" s="113"/>
      <c r="B507" s="113"/>
      <c r="C507" s="122"/>
      <c r="D507" s="122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>
      <c r="A508" s="113"/>
      <c r="B508" s="113"/>
      <c r="C508" s="122"/>
      <c r="D508" s="122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>
      <c r="A509" s="113"/>
      <c r="B509" s="113"/>
      <c r="C509" s="122"/>
      <c r="D509" s="122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>
      <c r="A510" s="113"/>
      <c r="B510" s="113"/>
      <c r="C510" s="122"/>
      <c r="D510" s="122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>
      <c r="A511" s="113"/>
      <c r="B511" s="113"/>
      <c r="C511" s="122"/>
      <c r="D511" s="122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>
      <c r="A512" s="113"/>
      <c r="B512" s="113"/>
      <c r="C512" s="122"/>
      <c r="D512" s="122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>
      <c r="A513" s="113"/>
      <c r="B513" s="113"/>
      <c r="C513" s="122"/>
      <c r="D513" s="122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>
      <c r="A514" s="113"/>
      <c r="B514" s="113"/>
      <c r="C514" s="122"/>
      <c r="D514" s="122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>
      <c r="A515" s="113"/>
      <c r="B515" s="113"/>
      <c r="C515" s="122"/>
      <c r="D515" s="122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>
      <c r="A516" s="113"/>
      <c r="B516" s="113"/>
      <c r="C516" s="122"/>
      <c r="D516" s="122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>
      <c r="A517" s="113"/>
      <c r="B517" s="113"/>
      <c r="C517" s="122"/>
      <c r="D517" s="122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>
      <c r="A518" s="113"/>
      <c r="B518" s="113"/>
      <c r="C518" s="122"/>
      <c r="D518" s="122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>
      <c r="A519" s="113"/>
      <c r="B519" s="113"/>
      <c r="C519" s="122"/>
      <c r="D519" s="122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>
      <c r="A520" s="113"/>
      <c r="B520" s="113"/>
      <c r="C520" s="122"/>
      <c r="D520" s="122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>
      <c r="A521" s="113"/>
      <c r="B521" s="113"/>
      <c r="C521" s="122"/>
      <c r="D521" s="122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>
      <c r="A522" s="113"/>
      <c r="B522" s="113"/>
      <c r="C522" s="122"/>
      <c r="D522" s="122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>
      <c r="A523" s="113"/>
      <c r="B523" s="113"/>
      <c r="C523" s="122"/>
      <c r="D523" s="122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>
      <c r="A524" s="113"/>
      <c r="B524" s="113"/>
      <c r="C524" s="122"/>
      <c r="D524" s="122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>
      <c r="A525" s="113"/>
      <c r="B525" s="113"/>
      <c r="C525" s="122"/>
      <c r="D525" s="122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>
      <c r="A526" s="113"/>
      <c r="B526" s="113"/>
      <c r="C526" s="122"/>
      <c r="D526" s="122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>
      <c r="A527" s="113"/>
      <c r="B527" s="113"/>
      <c r="C527" s="122"/>
      <c r="D527" s="122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>
      <c r="A528" s="113"/>
      <c r="B528" s="113"/>
      <c r="C528" s="122"/>
      <c r="D528" s="122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>
      <c r="A529" s="113"/>
      <c r="B529" s="113"/>
      <c r="C529" s="122"/>
      <c r="D529" s="122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>
      <c r="A530" s="113"/>
      <c r="B530" s="113"/>
      <c r="C530" s="122"/>
      <c r="D530" s="122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>
      <c r="A531" s="113"/>
      <c r="B531" s="113"/>
      <c r="C531" s="122"/>
      <c r="D531" s="122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>
      <c r="A532" s="113"/>
      <c r="B532" s="113"/>
      <c r="C532" s="122"/>
      <c r="D532" s="122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>
      <c r="A533" s="113"/>
      <c r="B533" s="113"/>
      <c r="C533" s="122"/>
      <c r="D533" s="122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>
      <c r="A534" s="113"/>
      <c r="B534" s="113"/>
      <c r="C534" s="122"/>
      <c r="D534" s="122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>
      <c r="A535" s="113"/>
      <c r="B535" s="113"/>
      <c r="C535" s="122"/>
      <c r="D535" s="122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>
      <c r="A536" s="113"/>
      <c r="B536" s="113"/>
      <c r="C536" s="122"/>
      <c r="D536" s="122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>
      <c r="A537" s="113"/>
      <c r="B537" s="113"/>
      <c r="C537" s="122"/>
      <c r="D537" s="122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>
      <c r="A538" s="113"/>
      <c r="B538" s="113"/>
      <c r="C538" s="122"/>
      <c r="D538" s="122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>
      <c r="A539" s="113"/>
      <c r="B539" s="113"/>
      <c r="C539" s="122"/>
      <c r="D539" s="122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>
      <c r="A540" s="113"/>
      <c r="B540" s="113"/>
      <c r="C540" s="122"/>
      <c r="D540" s="122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>
      <c r="A541" s="113"/>
      <c r="B541" s="113"/>
      <c r="C541" s="122"/>
      <c r="D541" s="122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>
      <c r="A542" s="113"/>
      <c r="B542" s="113"/>
      <c r="C542" s="122"/>
      <c r="D542" s="122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>
      <c r="A543" s="113"/>
      <c r="B543" s="113"/>
      <c r="C543" s="122"/>
      <c r="D543" s="122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>
      <c r="A544" s="113"/>
      <c r="B544" s="113"/>
      <c r="C544" s="122"/>
      <c r="D544" s="122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>
      <c r="A545" s="113"/>
      <c r="B545" s="113"/>
      <c r="C545" s="122"/>
      <c r="D545" s="122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>
      <c r="A546" s="113"/>
      <c r="B546" s="113"/>
      <c r="C546" s="122"/>
      <c r="D546" s="122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>
      <c r="A547" s="113"/>
      <c r="B547" s="113"/>
      <c r="C547" s="122"/>
      <c r="D547" s="122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>
      <c r="A548" s="113"/>
      <c r="B548" s="113"/>
      <c r="C548" s="122"/>
      <c r="D548" s="122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>
      <c r="A549" s="113"/>
      <c r="B549" s="113"/>
      <c r="C549" s="122"/>
      <c r="D549" s="122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>
      <c r="A550" s="113"/>
      <c r="B550" s="113"/>
      <c r="C550" s="122"/>
      <c r="D550" s="122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>
      <c r="A551" s="113"/>
      <c r="B551" s="113"/>
      <c r="C551" s="122"/>
      <c r="D551" s="122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>
      <c r="A552" s="113"/>
      <c r="B552" s="113"/>
      <c r="C552" s="122"/>
      <c r="D552" s="122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>
      <c r="A553" s="113"/>
      <c r="B553" s="113"/>
      <c r="C553" s="122"/>
      <c r="D553" s="122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>
      <c r="A554" s="113"/>
      <c r="B554" s="113"/>
      <c r="C554" s="122"/>
      <c r="D554" s="122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>
      <c r="A555" s="113"/>
      <c r="B555" s="113"/>
      <c r="C555" s="122"/>
      <c r="D555" s="122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>
      <c r="A556" s="113"/>
      <c r="B556" s="113"/>
      <c r="C556" s="122"/>
      <c r="D556" s="122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>
      <c r="A557" s="113"/>
      <c r="B557" s="113"/>
      <c r="C557" s="122"/>
      <c r="D557" s="122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>
      <c r="A558" s="113"/>
      <c r="B558" s="113"/>
      <c r="C558" s="122"/>
      <c r="D558" s="122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>
      <c r="A559" s="113"/>
      <c r="B559" s="113"/>
      <c r="C559" s="122"/>
      <c r="D559" s="122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>
      <c r="A560" s="113"/>
      <c r="B560" s="113"/>
      <c r="C560" s="122"/>
      <c r="D560" s="122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>
      <c r="A561" s="113"/>
      <c r="B561" s="113"/>
      <c r="C561" s="122"/>
      <c r="D561" s="122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>
      <c r="A562" s="113"/>
      <c r="B562" s="113"/>
      <c r="C562" s="122"/>
      <c r="D562" s="122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>
      <c r="A563" s="113"/>
      <c r="B563" s="113"/>
      <c r="C563" s="122"/>
      <c r="D563" s="122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>
      <c r="A564" s="113"/>
      <c r="B564" s="113"/>
      <c r="C564" s="122"/>
      <c r="D564" s="122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>
      <c r="A565" s="113"/>
      <c r="B565" s="113"/>
      <c r="C565" s="122"/>
      <c r="D565" s="122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>
      <c r="A566" s="113"/>
      <c r="B566" s="113"/>
      <c r="C566" s="122"/>
      <c r="D566" s="122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>
      <c r="A567" s="113"/>
      <c r="B567" s="113"/>
      <c r="C567" s="122"/>
      <c r="D567" s="122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>
      <c r="A568" s="113"/>
      <c r="B568" s="113"/>
      <c r="C568" s="122"/>
      <c r="D568" s="122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>
      <c r="A569" s="113"/>
      <c r="B569" s="113"/>
      <c r="C569" s="122"/>
      <c r="D569" s="122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>
      <c r="A570" s="113"/>
      <c r="B570" s="113"/>
      <c r="C570" s="122"/>
      <c r="D570" s="122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>
      <c r="A571" s="113"/>
      <c r="B571" s="113"/>
      <c r="C571" s="122"/>
      <c r="D571" s="122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>
      <c r="A572" s="113"/>
      <c r="B572" s="113"/>
      <c r="C572" s="122"/>
      <c r="D572" s="122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>
      <c r="A573" s="113"/>
      <c r="B573" s="113"/>
      <c r="C573" s="122"/>
      <c r="D573" s="122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>
      <c r="A574" s="113"/>
      <c r="B574" s="113"/>
      <c r="C574" s="122"/>
      <c r="D574" s="122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>
      <c r="A575" s="113"/>
      <c r="B575" s="113"/>
      <c r="C575" s="122"/>
      <c r="D575" s="122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>
      <c r="A576" s="113"/>
      <c r="B576" s="113"/>
      <c r="C576" s="122"/>
      <c r="D576" s="122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>
      <c r="A577" s="113"/>
      <c r="B577" s="113"/>
      <c r="C577" s="122"/>
      <c r="D577" s="122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>
      <c r="A578" s="113"/>
      <c r="B578" s="113"/>
      <c r="C578" s="122"/>
      <c r="D578" s="122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>
      <c r="A579" s="113"/>
      <c r="B579" s="113"/>
      <c r="C579" s="122"/>
      <c r="D579" s="122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>
      <c r="A580" s="113"/>
      <c r="B580" s="113"/>
      <c r="C580" s="122"/>
      <c r="D580" s="122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>
      <c r="A581" s="113"/>
      <c r="B581" s="113"/>
      <c r="C581" s="122"/>
      <c r="D581" s="122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>
      <c r="A582" s="113"/>
      <c r="B582" s="113"/>
      <c r="C582" s="122"/>
      <c r="D582" s="122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>
      <c r="A583" s="113"/>
      <c r="B583" s="113"/>
      <c r="C583" s="122"/>
      <c r="D583" s="122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>
      <c r="A584" s="113"/>
      <c r="B584" s="113"/>
      <c r="C584" s="122"/>
      <c r="D584" s="122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>
      <c r="A585" s="113"/>
      <c r="B585" s="113"/>
      <c r="C585" s="122"/>
      <c r="D585" s="122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>
      <c r="A586" s="113"/>
      <c r="B586" s="113"/>
      <c r="C586" s="122"/>
      <c r="D586" s="122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>
      <c r="A587" s="113"/>
      <c r="B587" s="113"/>
      <c r="C587" s="122"/>
      <c r="D587" s="122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>
      <c r="A588" s="113"/>
      <c r="B588" s="113"/>
      <c r="C588" s="122"/>
      <c r="D588" s="122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>
      <c r="A589" s="113"/>
      <c r="B589" s="113"/>
      <c r="C589" s="122"/>
      <c r="D589" s="122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>
      <c r="A590" s="113"/>
      <c r="B590" s="113"/>
      <c r="C590" s="122"/>
      <c r="D590" s="122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>
      <c r="A591" s="113"/>
      <c r="B591" s="113"/>
      <c r="C591" s="122"/>
      <c r="D591" s="122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>
      <c r="A592" s="113"/>
      <c r="B592" s="113"/>
      <c r="C592" s="122"/>
      <c r="D592" s="122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>
      <c r="A593" s="113"/>
      <c r="B593" s="113"/>
      <c r="C593" s="122"/>
      <c r="D593" s="122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>
      <c r="A594" s="113"/>
      <c r="B594" s="113"/>
      <c r="C594" s="122"/>
      <c r="D594" s="122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>
      <c r="A595" s="113"/>
      <c r="B595" s="113"/>
      <c r="C595" s="122"/>
      <c r="D595" s="122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>
      <c r="A596" s="113"/>
      <c r="B596" s="113"/>
      <c r="C596" s="122"/>
      <c r="D596" s="122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>
      <c r="A597" s="113"/>
      <c r="B597" s="113"/>
      <c r="C597" s="122"/>
      <c r="D597" s="122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>
      <c r="A598" s="113"/>
      <c r="B598" s="113"/>
      <c r="C598" s="122"/>
      <c r="D598" s="122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>
      <c r="A599" s="113"/>
      <c r="B599" s="113"/>
      <c r="C599" s="122"/>
      <c r="D599" s="122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>
      <c r="A600" s="113"/>
      <c r="B600" s="113"/>
      <c r="C600" s="122"/>
      <c r="D600" s="122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>
      <c r="A601" s="113"/>
      <c r="B601" s="113"/>
      <c r="C601" s="122"/>
      <c r="D601" s="122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>
      <c r="A602" s="113"/>
      <c r="B602" s="113"/>
      <c r="C602" s="122"/>
      <c r="D602" s="122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>
      <c r="A603" s="113"/>
      <c r="B603" s="113"/>
      <c r="C603" s="122"/>
      <c r="D603" s="122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>
      <c r="A604" s="113"/>
      <c r="B604" s="113"/>
      <c r="C604" s="122"/>
      <c r="D604" s="122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>
      <c r="A605" s="113"/>
      <c r="B605" s="113"/>
      <c r="C605" s="122"/>
      <c r="D605" s="122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>
      <c r="A606" s="113"/>
      <c r="B606" s="113"/>
      <c r="C606" s="122"/>
      <c r="D606" s="122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>
      <c r="A607" s="113"/>
      <c r="B607" s="113"/>
      <c r="C607" s="122"/>
      <c r="D607" s="122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>
      <c r="A608" s="113"/>
      <c r="B608" s="113"/>
      <c r="C608" s="122"/>
      <c r="D608" s="122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>
      <c r="A609" s="113"/>
      <c r="B609" s="113"/>
      <c r="C609" s="122"/>
      <c r="D609" s="122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>
      <c r="A610" s="113"/>
      <c r="B610" s="113"/>
      <c r="C610" s="122"/>
      <c r="D610" s="122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>
      <c r="A611" s="113"/>
      <c r="B611" s="113"/>
      <c r="C611" s="122"/>
      <c r="D611" s="122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>
      <c r="A612" s="113"/>
      <c r="B612" s="113"/>
      <c r="C612" s="122"/>
      <c r="D612" s="122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>
      <c r="A613" s="113"/>
      <c r="B613" s="113"/>
      <c r="C613" s="122"/>
      <c r="D613" s="122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>
      <c r="A614" s="113"/>
      <c r="B614" s="113"/>
      <c r="C614" s="122"/>
      <c r="D614" s="122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>
      <c r="A615" s="113"/>
      <c r="B615" s="113"/>
      <c r="C615" s="122"/>
      <c r="D615" s="122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>
      <c r="A616" s="113"/>
      <c r="B616" s="113"/>
      <c r="C616" s="122"/>
      <c r="D616" s="122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>
      <c r="A617" s="113"/>
      <c r="B617" s="113"/>
      <c r="C617" s="122"/>
      <c r="D617" s="122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>
      <c r="A618" s="113"/>
      <c r="B618" s="113"/>
      <c r="C618" s="122"/>
      <c r="D618" s="122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>
      <c r="A619" s="113"/>
      <c r="B619" s="113"/>
      <c r="C619" s="122"/>
      <c r="D619" s="122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>
      <c r="A620" s="113"/>
      <c r="B620" s="113"/>
      <c r="C620" s="122"/>
      <c r="D620" s="122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>
      <c r="A621" s="113"/>
      <c r="B621" s="113"/>
      <c r="C621" s="122"/>
      <c r="D621" s="122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>
      <c r="A622" s="113"/>
      <c r="B622" s="113"/>
      <c r="C622" s="122"/>
      <c r="D622" s="122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>
      <c r="A623" s="113"/>
      <c r="B623" s="113"/>
      <c r="C623" s="122"/>
      <c r="D623" s="122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>
      <c r="A624" s="113"/>
      <c r="B624" s="113"/>
      <c r="C624" s="122"/>
      <c r="D624" s="122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>
      <c r="A625" s="113"/>
      <c r="B625" s="113"/>
      <c r="C625" s="122"/>
      <c r="D625" s="122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>
      <c r="A626" s="113"/>
      <c r="B626" s="113"/>
      <c r="C626" s="122"/>
      <c r="D626" s="122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>
      <c r="A627" s="113"/>
      <c r="B627" s="113"/>
      <c r="C627" s="122"/>
      <c r="D627" s="122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>
      <c r="A628" s="113"/>
      <c r="B628" s="113"/>
      <c r="C628" s="122"/>
      <c r="D628" s="122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>
      <c r="A629" s="113"/>
      <c r="B629" s="113"/>
      <c r="C629" s="122"/>
      <c r="D629" s="122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>
      <c r="A630" s="113"/>
      <c r="B630" s="113"/>
      <c r="C630" s="122"/>
      <c r="D630" s="122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>
      <c r="A631" s="113"/>
      <c r="B631" s="113"/>
      <c r="C631" s="122"/>
      <c r="D631" s="122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>
      <c r="A632" s="113"/>
      <c r="B632" s="113"/>
      <c r="C632" s="122"/>
      <c r="D632" s="122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>
      <c r="A633" s="113"/>
      <c r="B633" s="113"/>
      <c r="C633" s="122"/>
      <c r="D633" s="122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>
      <c r="A634" s="113"/>
      <c r="B634" s="113"/>
      <c r="C634" s="122"/>
      <c r="D634" s="122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>
      <c r="A635" s="113"/>
      <c r="B635" s="113"/>
      <c r="C635" s="122"/>
      <c r="D635" s="122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>
      <c r="A636" s="113"/>
      <c r="B636" s="113"/>
      <c r="C636" s="122"/>
      <c r="D636" s="122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>
      <c r="A637" s="113"/>
      <c r="B637" s="113"/>
      <c r="C637" s="122"/>
      <c r="D637" s="122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>
      <c r="A638" s="113"/>
      <c r="B638" s="113"/>
      <c r="C638" s="122"/>
      <c r="D638" s="122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>
      <c r="A639" s="113"/>
      <c r="B639" s="113"/>
      <c r="C639" s="122"/>
      <c r="D639" s="122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>
      <c r="A640" s="113"/>
      <c r="B640" s="113"/>
      <c r="C640" s="122"/>
      <c r="D640" s="122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>
      <c r="A641" s="113"/>
      <c r="B641" s="113"/>
      <c r="C641" s="122"/>
      <c r="D641" s="122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>
      <c r="A642" s="113"/>
      <c r="B642" s="113"/>
      <c r="C642" s="122"/>
      <c r="D642" s="122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>
      <c r="A643" s="113"/>
      <c r="B643" s="113"/>
      <c r="C643" s="122"/>
      <c r="D643" s="122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>
      <c r="A644" s="113"/>
      <c r="B644" s="113"/>
      <c r="C644" s="122"/>
      <c r="D644" s="122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>
      <c r="A645" s="113"/>
      <c r="B645" s="113"/>
      <c r="C645" s="122"/>
      <c r="D645" s="122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>
      <c r="A646" s="113"/>
      <c r="B646" s="113"/>
      <c r="C646" s="122"/>
      <c r="D646" s="122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>
      <c r="A647" s="113"/>
      <c r="B647" s="113"/>
      <c r="C647" s="122"/>
      <c r="D647" s="122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>
      <c r="A648" s="113"/>
      <c r="B648" s="113"/>
      <c r="C648" s="122"/>
      <c r="D648" s="122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>
      <c r="A649" s="113"/>
      <c r="B649" s="113"/>
      <c r="C649" s="122"/>
      <c r="D649" s="122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>
      <c r="A650" s="113"/>
      <c r="B650" s="113"/>
      <c r="C650" s="122"/>
      <c r="D650" s="122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>
      <c r="A651" s="113"/>
      <c r="B651" s="113"/>
      <c r="C651" s="122"/>
      <c r="D651" s="122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>
      <c r="A652" s="113"/>
      <c r="B652" s="113"/>
      <c r="C652" s="122"/>
      <c r="D652" s="122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>
      <c r="A653" s="113"/>
      <c r="B653" s="113"/>
      <c r="C653" s="122"/>
      <c r="D653" s="122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>
      <c r="A654" s="113"/>
      <c r="B654" s="113"/>
      <c r="C654" s="122"/>
      <c r="D654" s="122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>
      <c r="A655" s="113"/>
      <c r="B655" s="113"/>
      <c r="C655" s="122"/>
      <c r="D655" s="122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>
      <c r="A656" s="113"/>
      <c r="B656" s="113"/>
      <c r="C656" s="122"/>
      <c r="D656" s="122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>
      <c r="A657" s="113"/>
      <c r="B657" s="113"/>
      <c r="C657" s="122"/>
      <c r="D657" s="122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>
      <c r="A658" s="113"/>
      <c r="B658" s="113"/>
      <c r="C658" s="122"/>
      <c r="D658" s="122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>
      <c r="A659" s="113"/>
      <c r="B659" s="113"/>
      <c r="C659" s="122"/>
      <c r="D659" s="122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>
      <c r="A660" s="113"/>
      <c r="B660" s="113"/>
      <c r="C660" s="122"/>
      <c r="D660" s="122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>
      <c r="A661" s="113"/>
      <c r="B661" s="113"/>
      <c r="C661" s="122"/>
      <c r="D661" s="122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>
      <c r="A662" s="113"/>
      <c r="B662" s="113"/>
      <c r="C662" s="122"/>
      <c r="D662" s="122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>
      <c r="A663" s="113"/>
      <c r="B663" s="113"/>
      <c r="C663" s="122"/>
      <c r="D663" s="122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>
      <c r="A664" s="113"/>
      <c r="B664" s="113"/>
      <c r="C664" s="122"/>
      <c r="D664" s="122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>
      <c r="A665" s="113"/>
      <c r="B665" s="113"/>
      <c r="C665" s="122"/>
      <c r="D665" s="122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>
      <c r="A666" s="113"/>
      <c r="B666" s="113"/>
      <c r="C666" s="122"/>
      <c r="D666" s="122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>
      <c r="A667" s="113"/>
      <c r="B667" s="113"/>
      <c r="C667" s="122"/>
      <c r="D667" s="122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>
      <c r="A668" s="113"/>
      <c r="B668" s="113"/>
      <c r="C668" s="122"/>
      <c r="D668" s="122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>
      <c r="A669" s="113"/>
      <c r="B669" s="113"/>
      <c r="C669" s="122"/>
      <c r="D669" s="122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>
      <c r="A670" s="113"/>
      <c r="B670" s="113"/>
      <c r="C670" s="122"/>
      <c r="D670" s="122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>
      <c r="A671" s="113"/>
      <c r="B671" s="113"/>
      <c r="C671" s="122"/>
      <c r="D671" s="122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>
      <c r="A672" s="113"/>
      <c r="B672" s="113"/>
      <c r="C672" s="122"/>
      <c r="D672" s="122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>
      <c r="A673" s="113"/>
      <c r="B673" s="113"/>
      <c r="C673" s="122"/>
      <c r="D673" s="122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>
      <c r="A674" s="113"/>
      <c r="B674" s="113"/>
      <c r="C674" s="122"/>
      <c r="D674" s="122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>
      <c r="A675" s="113"/>
      <c r="B675" s="113"/>
      <c r="C675" s="122"/>
      <c r="D675" s="122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>
      <c r="A676" s="113"/>
      <c r="B676" s="113"/>
      <c r="C676" s="122"/>
      <c r="D676" s="122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>
      <c r="A677" s="113"/>
      <c r="B677" s="113"/>
      <c r="C677" s="122"/>
      <c r="D677" s="122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>
      <c r="A678" s="113"/>
      <c r="B678" s="113"/>
      <c r="C678" s="122"/>
      <c r="D678" s="122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>
      <c r="A679" s="113"/>
      <c r="B679" s="113"/>
      <c r="C679" s="122"/>
      <c r="D679" s="122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>
      <c r="A680" s="113"/>
      <c r="B680" s="113"/>
      <c r="C680" s="122"/>
      <c r="D680" s="122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>
      <c r="A681" s="113"/>
      <c r="B681" s="113"/>
      <c r="C681" s="122"/>
      <c r="D681" s="122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>
      <c r="A682" s="113"/>
      <c r="B682" s="113"/>
      <c r="C682" s="122"/>
      <c r="D682" s="122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>
      <c r="A683" s="113"/>
      <c r="B683" s="113"/>
      <c r="C683" s="122"/>
      <c r="D683" s="122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>
      <c r="A684" s="113"/>
      <c r="B684" s="113"/>
      <c r="C684" s="122"/>
      <c r="D684" s="122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>
      <c r="A685" s="113"/>
      <c r="B685" s="113"/>
      <c r="C685" s="122"/>
      <c r="D685" s="122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>
      <c r="A686" s="113"/>
      <c r="B686" s="113"/>
      <c r="C686" s="122"/>
      <c r="D686" s="122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>
      <c r="A687" s="113"/>
      <c r="B687" s="113"/>
      <c r="C687" s="122"/>
      <c r="D687" s="122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>
      <c r="A688" s="113"/>
      <c r="B688" s="113"/>
      <c r="C688" s="122"/>
      <c r="D688" s="122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>
      <c r="A689" s="113"/>
      <c r="B689" s="113"/>
      <c r="C689" s="122"/>
      <c r="D689" s="122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>
      <c r="A690" s="113"/>
      <c r="B690" s="113"/>
      <c r="C690" s="122"/>
      <c r="D690" s="122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>
      <c r="A691" s="113"/>
      <c r="B691" s="113"/>
      <c r="C691" s="122"/>
      <c r="D691" s="122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>
      <c r="A692" s="113"/>
      <c r="B692" s="113"/>
      <c r="C692" s="122"/>
      <c r="D692" s="122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>
      <c r="A693" s="113"/>
      <c r="B693" s="113"/>
      <c r="C693" s="122"/>
      <c r="D693" s="122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>
      <c r="A694" s="113"/>
      <c r="B694" s="113"/>
      <c r="C694" s="122"/>
      <c r="D694" s="122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>
      <c r="A695" s="113"/>
      <c r="B695" s="113"/>
      <c r="C695" s="122"/>
      <c r="D695" s="122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>
      <c r="A696" s="113"/>
      <c r="B696" s="113"/>
      <c r="C696" s="122"/>
      <c r="D696" s="122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>
      <c r="A697" s="113"/>
      <c r="B697" s="113"/>
      <c r="C697" s="122"/>
      <c r="D697" s="122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>
      <c r="A698" s="113"/>
      <c r="B698" s="113"/>
      <c r="C698" s="122"/>
      <c r="D698" s="122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>
      <c r="A699" s="113"/>
      <c r="B699" s="113"/>
      <c r="C699" s="122"/>
      <c r="D699" s="122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>
      <c r="A700" s="113"/>
      <c r="B700" s="113"/>
      <c r="C700" s="122"/>
      <c r="D700" s="122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>
      <c r="A701" s="113"/>
      <c r="B701" s="113"/>
      <c r="C701" s="122"/>
      <c r="D701" s="122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>
      <c r="A702" s="113"/>
      <c r="B702" s="113"/>
      <c r="C702" s="122"/>
      <c r="D702" s="122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>
      <c r="A703" s="113"/>
      <c r="B703" s="113"/>
      <c r="C703" s="122"/>
      <c r="D703" s="122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>
      <c r="A704" s="113"/>
      <c r="B704" s="113"/>
      <c r="C704" s="122"/>
      <c r="D704" s="122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>
      <c r="A705" s="113"/>
      <c r="B705" s="113"/>
      <c r="C705" s="122"/>
      <c r="D705" s="122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>
      <c r="A706" s="113"/>
      <c r="B706" s="113"/>
      <c r="C706" s="122"/>
      <c r="D706" s="122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>
      <c r="A707" s="113"/>
      <c r="B707" s="113"/>
      <c r="C707" s="122"/>
      <c r="D707" s="122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>
      <c r="A708" s="113"/>
      <c r="B708" s="113"/>
      <c r="C708" s="122"/>
      <c r="D708" s="122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>
      <c r="A709" s="113"/>
      <c r="B709" s="113"/>
      <c r="C709" s="122"/>
      <c r="D709" s="122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>
      <c r="A710" s="113"/>
      <c r="B710" s="113"/>
      <c r="C710" s="122"/>
      <c r="D710" s="122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>
      <c r="A711" s="113"/>
      <c r="B711" s="113"/>
      <c r="C711" s="122"/>
      <c r="D711" s="122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>
      <c r="A712" s="113"/>
      <c r="B712" s="113"/>
      <c r="C712" s="122"/>
      <c r="D712" s="122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>
      <c r="A713" s="113"/>
      <c r="B713" s="113"/>
      <c r="C713" s="122"/>
      <c r="D713" s="122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>
      <c r="A714" s="113"/>
      <c r="B714" s="113"/>
      <c r="C714" s="122"/>
      <c r="D714" s="122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>
      <c r="A715" s="113"/>
      <c r="B715" s="113"/>
      <c r="C715" s="122"/>
      <c r="D715" s="122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>
      <c r="A716" s="113"/>
      <c r="B716" s="113"/>
      <c r="C716" s="122"/>
      <c r="D716" s="122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>
      <c r="A717" s="113"/>
      <c r="B717" s="113"/>
      <c r="C717" s="122"/>
      <c r="D717" s="122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>
      <c r="A718" s="113"/>
      <c r="B718" s="113"/>
      <c r="C718" s="122"/>
      <c r="D718" s="122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>
      <c r="A719" s="113"/>
      <c r="B719" s="113"/>
      <c r="C719" s="122"/>
      <c r="D719" s="122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>
      <c r="A720" s="113"/>
      <c r="B720" s="113"/>
      <c r="C720" s="122"/>
      <c r="D720" s="122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>
      <c r="A721" s="113"/>
      <c r="B721" s="113"/>
      <c r="C721" s="122"/>
      <c r="D721" s="122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>
      <c r="A722" s="113"/>
      <c r="B722" s="113"/>
      <c r="C722" s="122"/>
      <c r="D722" s="122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>
      <c r="A723" s="113"/>
      <c r="B723" s="113"/>
      <c r="C723" s="122"/>
      <c r="D723" s="122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>
      <c r="A724" s="113"/>
      <c r="B724" s="113"/>
      <c r="C724" s="122"/>
      <c r="D724" s="122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>
      <c r="A725" s="113"/>
      <c r="B725" s="113"/>
      <c r="C725" s="122"/>
      <c r="D725" s="122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>
      <c r="A726" s="113"/>
      <c r="B726" s="113"/>
      <c r="C726" s="122"/>
      <c r="D726" s="122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>
      <c r="A727" s="113"/>
      <c r="B727" s="113"/>
      <c r="C727" s="122"/>
      <c r="D727" s="122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>
      <c r="A728" s="113"/>
      <c r="B728" s="113"/>
      <c r="C728" s="122"/>
      <c r="D728" s="122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>
      <c r="A729" s="113"/>
      <c r="B729" s="113"/>
      <c r="C729" s="122"/>
      <c r="D729" s="122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>
      <c r="A730" s="113"/>
      <c r="B730" s="113"/>
      <c r="C730" s="122"/>
      <c r="D730" s="122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>
      <c r="A731" s="113"/>
      <c r="B731" s="113"/>
      <c r="C731" s="122"/>
      <c r="D731" s="122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>
      <c r="A732" s="113"/>
      <c r="B732" s="113"/>
      <c r="C732" s="122"/>
      <c r="D732" s="122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>
      <c r="A733" s="113"/>
      <c r="B733" s="113"/>
      <c r="C733" s="122"/>
      <c r="D733" s="122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>
      <c r="A734" s="113"/>
      <c r="B734" s="113"/>
      <c r="C734" s="122"/>
      <c r="D734" s="122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>
      <c r="A735" s="113"/>
      <c r="B735" s="113"/>
      <c r="C735" s="122"/>
      <c r="D735" s="122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>
      <c r="A736" s="113"/>
      <c r="B736" s="113"/>
      <c r="C736" s="122"/>
      <c r="D736" s="122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>
      <c r="A737" s="113"/>
      <c r="B737" s="113"/>
      <c r="C737" s="122"/>
      <c r="D737" s="122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>
      <c r="A738" s="113"/>
      <c r="B738" s="113"/>
      <c r="C738" s="122"/>
      <c r="D738" s="122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>
      <c r="A739" s="113"/>
      <c r="B739" s="113"/>
      <c r="C739" s="122"/>
      <c r="D739" s="122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>
      <c r="A740" s="113"/>
      <c r="B740" s="113"/>
      <c r="C740" s="122"/>
      <c r="D740" s="122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>
      <c r="A741" s="113"/>
      <c r="B741" s="113"/>
      <c r="C741" s="122"/>
      <c r="D741" s="122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>
      <c r="A742" s="113"/>
      <c r="B742" s="113"/>
      <c r="C742" s="122"/>
      <c r="D742" s="122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>
      <c r="A743" s="113"/>
      <c r="B743" s="113"/>
      <c r="C743" s="122"/>
      <c r="D743" s="122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>
      <c r="A744" s="113"/>
      <c r="B744" s="113"/>
      <c r="C744" s="122"/>
      <c r="D744" s="122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>
      <c r="A745" s="113"/>
      <c r="B745" s="113"/>
      <c r="C745" s="122"/>
      <c r="D745" s="122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>
      <c r="A746" s="113"/>
      <c r="B746" s="113"/>
      <c r="C746" s="122"/>
      <c r="D746" s="122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>
      <c r="A747" s="113"/>
      <c r="B747" s="113"/>
      <c r="C747" s="122"/>
      <c r="D747" s="122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>
      <c r="A748" s="113"/>
      <c r="B748" s="113"/>
      <c r="C748" s="122"/>
      <c r="D748" s="122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>
      <c r="A749" s="113"/>
      <c r="B749" s="113"/>
      <c r="C749" s="122"/>
      <c r="D749" s="122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>
      <c r="A750" s="113"/>
      <c r="B750" s="113"/>
      <c r="C750" s="122"/>
      <c r="D750" s="122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>
      <c r="A751" s="113"/>
      <c r="B751" s="113"/>
      <c r="C751" s="122"/>
      <c r="D751" s="122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>
      <c r="A752" s="113"/>
      <c r="B752" s="113"/>
      <c r="C752" s="122"/>
      <c r="D752" s="122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>
      <c r="A753" s="113"/>
      <c r="B753" s="113"/>
      <c r="C753" s="122"/>
      <c r="D753" s="122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>
      <c r="A754" s="113"/>
      <c r="B754" s="113"/>
      <c r="C754" s="122"/>
      <c r="D754" s="122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>
      <c r="A755" s="113"/>
      <c r="B755" s="113"/>
      <c r="C755" s="122"/>
      <c r="D755" s="122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>
      <c r="A756" s="113"/>
      <c r="B756" s="113"/>
      <c r="C756" s="122"/>
      <c r="D756" s="122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>
      <c r="A757" s="113"/>
      <c r="B757" s="113"/>
      <c r="C757" s="122"/>
      <c r="D757" s="122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>
      <c r="A758" s="113"/>
      <c r="B758" s="113"/>
      <c r="C758" s="122"/>
      <c r="D758" s="122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>
      <c r="A759" s="113"/>
      <c r="B759" s="113"/>
      <c r="C759" s="122"/>
      <c r="D759" s="122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>
      <c r="A760" s="113"/>
      <c r="B760" s="113"/>
      <c r="C760" s="122"/>
      <c r="D760" s="122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>
      <c r="A761" s="113"/>
      <c r="B761" s="113"/>
      <c r="C761" s="122"/>
      <c r="D761" s="122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>
      <c r="A762" s="113"/>
      <c r="B762" s="113"/>
      <c r="C762" s="122"/>
      <c r="D762" s="122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>
      <c r="A763" s="113"/>
      <c r="B763" s="113"/>
      <c r="C763" s="122"/>
      <c r="D763" s="122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>
      <c r="A764" s="113"/>
      <c r="B764" s="113"/>
      <c r="C764" s="122"/>
      <c r="D764" s="122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>
      <c r="A765" s="113"/>
      <c r="B765" s="113"/>
      <c r="C765" s="122"/>
      <c r="D765" s="122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>
      <c r="A766" s="113"/>
      <c r="B766" s="113"/>
      <c r="C766" s="122"/>
      <c r="D766" s="122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>
      <c r="A767" s="113"/>
      <c r="B767" s="113"/>
      <c r="C767" s="122"/>
      <c r="D767" s="122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>
      <c r="A768" s="113"/>
      <c r="B768" s="113"/>
      <c r="C768" s="122"/>
      <c r="D768" s="122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>
      <c r="A769" s="113"/>
      <c r="B769" s="113"/>
      <c r="C769" s="122"/>
      <c r="D769" s="122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>
      <c r="A770" s="113"/>
      <c r="B770" s="113"/>
      <c r="C770" s="122"/>
      <c r="D770" s="122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>
      <c r="A771" s="113"/>
      <c r="B771" s="113"/>
      <c r="C771" s="122"/>
      <c r="D771" s="122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>
      <c r="A772" s="113"/>
      <c r="B772" s="113"/>
      <c r="C772" s="122"/>
      <c r="D772" s="122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>
      <c r="A773" s="113"/>
      <c r="B773" s="113"/>
      <c r="C773" s="122"/>
      <c r="D773" s="122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>
      <c r="A774" s="113"/>
      <c r="B774" s="113"/>
      <c r="C774" s="122"/>
      <c r="D774" s="122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>
      <c r="A775" s="113"/>
      <c r="B775" s="113"/>
      <c r="C775" s="122"/>
      <c r="D775" s="122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>
      <c r="A776" s="113"/>
      <c r="B776" s="113"/>
      <c r="C776" s="122"/>
      <c r="D776" s="122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>
      <c r="A777" s="113"/>
      <c r="B777" s="113"/>
      <c r="C777" s="122"/>
      <c r="D777" s="122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>
      <c r="A778" s="113"/>
      <c r="B778" s="113"/>
      <c r="C778" s="122"/>
      <c r="D778" s="122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>
      <c r="A779" s="113"/>
      <c r="B779" s="113"/>
      <c r="C779" s="122"/>
      <c r="D779" s="122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>
      <c r="A780" s="113"/>
      <c r="B780" s="113"/>
      <c r="C780" s="122"/>
      <c r="D780" s="122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>
      <c r="A781" s="113"/>
      <c r="B781" s="113"/>
      <c r="C781" s="122"/>
      <c r="D781" s="122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>
      <c r="A782" s="113"/>
      <c r="B782" s="113"/>
      <c r="C782" s="122"/>
      <c r="D782" s="122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>
      <c r="A783" s="113"/>
      <c r="B783" s="113"/>
      <c r="C783" s="122"/>
      <c r="D783" s="122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>
      <c r="A784" s="113"/>
      <c r="B784" s="113"/>
      <c r="C784" s="122"/>
      <c r="D784" s="122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>
      <c r="A785" s="113"/>
      <c r="B785" s="113"/>
      <c r="C785" s="122"/>
      <c r="D785" s="122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>
      <c r="A786" s="113"/>
      <c r="B786" s="113"/>
      <c r="C786" s="122"/>
      <c r="D786" s="122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>
      <c r="A787" s="113"/>
      <c r="B787" s="113"/>
      <c r="C787" s="122"/>
      <c r="D787" s="122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>
      <c r="A788" s="113"/>
      <c r="B788" s="113"/>
      <c r="C788" s="122"/>
      <c r="D788" s="122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>
      <c r="A789" s="113"/>
      <c r="B789" s="113"/>
      <c r="C789" s="122"/>
      <c r="D789" s="122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>
      <c r="A790" s="113"/>
      <c r="B790" s="113"/>
      <c r="C790" s="122"/>
      <c r="D790" s="122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>
      <c r="A791" s="113"/>
      <c r="B791" s="113"/>
      <c r="C791" s="122"/>
      <c r="D791" s="122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>
      <c r="A792" s="113"/>
      <c r="B792" s="113"/>
      <c r="C792" s="122"/>
      <c r="D792" s="122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>
      <c r="A793" s="113"/>
      <c r="B793" s="113"/>
      <c r="C793" s="122"/>
      <c r="D793" s="122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>
      <c r="A794" s="113"/>
      <c r="B794" s="113"/>
      <c r="C794" s="122"/>
      <c r="D794" s="122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>
      <c r="A795" s="113"/>
      <c r="B795" s="113"/>
      <c r="C795" s="122"/>
      <c r="D795" s="122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>
      <c r="A796" s="113"/>
      <c r="B796" s="113"/>
      <c r="C796" s="122"/>
      <c r="D796" s="122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>
      <c r="A797" s="113"/>
      <c r="B797" s="113"/>
      <c r="C797" s="122"/>
      <c r="D797" s="122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>
      <c r="A798" s="113"/>
      <c r="B798" s="113"/>
      <c r="C798" s="122"/>
      <c r="D798" s="122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>
      <c r="A799" s="113"/>
      <c r="B799" s="113"/>
      <c r="C799" s="122"/>
      <c r="D799" s="122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>
      <c r="A800" s="113"/>
      <c r="B800" s="113"/>
      <c r="C800" s="122"/>
      <c r="D800" s="122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>
      <c r="A801" s="113"/>
      <c r="B801" s="113"/>
      <c r="C801" s="122"/>
      <c r="D801" s="122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>
      <c r="A802" s="113"/>
      <c r="B802" s="113"/>
      <c r="C802" s="122"/>
      <c r="D802" s="122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>
      <c r="A803" s="113"/>
      <c r="B803" s="113"/>
      <c r="C803" s="122"/>
      <c r="D803" s="122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>
      <c r="A804" s="113"/>
      <c r="B804" s="113"/>
      <c r="C804" s="122"/>
      <c r="D804" s="122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>
      <c r="A805" s="113"/>
      <c r="B805" s="113"/>
      <c r="C805" s="122"/>
      <c r="D805" s="122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>
      <c r="A806" s="113"/>
      <c r="B806" s="113"/>
      <c r="C806" s="122"/>
      <c r="D806" s="122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>
      <c r="A807" s="113"/>
      <c r="B807" s="113"/>
      <c r="C807" s="122"/>
      <c r="D807" s="122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>
      <c r="A808" s="113"/>
      <c r="B808" s="113"/>
      <c r="C808" s="122"/>
      <c r="D808" s="122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>
      <c r="A809" s="113"/>
      <c r="B809" s="113"/>
      <c r="C809" s="122"/>
      <c r="D809" s="122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>
      <c r="A810" s="113"/>
      <c r="B810" s="113"/>
      <c r="C810" s="122"/>
      <c r="D810" s="122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>
      <c r="A811" s="113"/>
      <c r="B811" s="113"/>
      <c r="C811" s="122"/>
      <c r="D811" s="122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>
      <c r="A812" s="113"/>
      <c r="B812" s="113"/>
      <c r="C812" s="122"/>
      <c r="D812" s="122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>
      <c r="A813" s="113"/>
      <c r="B813" s="113"/>
      <c r="C813" s="122"/>
      <c r="D813" s="122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>
      <c r="A814" s="113"/>
      <c r="B814" s="113"/>
      <c r="C814" s="122"/>
      <c r="D814" s="122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>
      <c r="A815" s="113"/>
      <c r="B815" s="113"/>
      <c r="C815" s="122"/>
      <c r="D815" s="122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>
      <c r="A816" s="113"/>
      <c r="B816" s="113"/>
      <c r="C816" s="122"/>
      <c r="D816" s="122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>
      <c r="A817" s="113"/>
      <c r="B817" s="113"/>
      <c r="C817" s="122"/>
      <c r="D817" s="122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>
      <c r="A818" s="113"/>
      <c r="B818" s="113"/>
      <c r="C818" s="122"/>
      <c r="D818" s="122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>
      <c r="A819" s="113"/>
      <c r="B819" s="113"/>
      <c r="C819" s="122"/>
      <c r="D819" s="122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>
      <c r="A820" s="113"/>
      <c r="B820" s="113"/>
      <c r="C820" s="122"/>
      <c r="D820" s="122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>
      <c r="A821" s="113"/>
      <c r="B821" s="113"/>
      <c r="C821" s="122"/>
      <c r="D821" s="122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>
      <c r="A822" s="113"/>
      <c r="B822" s="113"/>
      <c r="C822" s="122"/>
      <c r="D822" s="122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>
      <c r="A823" s="113"/>
      <c r="B823" s="113"/>
      <c r="C823" s="122"/>
      <c r="D823" s="122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>
      <c r="A824" s="113"/>
      <c r="B824" s="113"/>
      <c r="C824" s="122"/>
      <c r="D824" s="122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>
      <c r="A825" s="113"/>
      <c r="B825" s="113"/>
      <c r="C825" s="122"/>
      <c r="D825" s="122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>
      <c r="A826" s="113"/>
      <c r="B826" s="113"/>
      <c r="C826" s="122"/>
      <c r="D826" s="122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>
      <c r="A827" s="113"/>
      <c r="B827" s="113"/>
      <c r="C827" s="122"/>
      <c r="D827" s="122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>
      <c r="A828" s="113"/>
      <c r="B828" s="113"/>
      <c r="C828" s="122"/>
      <c r="D828" s="122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>
      <c r="A829" s="113"/>
      <c r="B829" s="113"/>
      <c r="C829" s="122"/>
      <c r="D829" s="122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>
      <c r="A830" s="113"/>
      <c r="B830" s="113"/>
      <c r="C830" s="122"/>
      <c r="D830" s="122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>
      <c r="A831" s="113"/>
      <c r="B831" s="113"/>
      <c r="C831" s="122"/>
      <c r="D831" s="122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>
      <c r="A832" s="113"/>
      <c r="B832" s="113"/>
      <c r="C832" s="122"/>
      <c r="D832" s="122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>
      <c r="A833" s="113"/>
      <c r="B833" s="113"/>
      <c r="C833" s="122"/>
      <c r="D833" s="122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>
      <c r="A834" s="113"/>
      <c r="B834" s="113"/>
      <c r="C834" s="122"/>
      <c r="D834" s="122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>
      <c r="A835" s="113"/>
      <c r="B835" s="113"/>
      <c r="C835" s="122"/>
      <c r="D835" s="122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>
      <c r="A836" s="113"/>
      <c r="B836" s="113"/>
      <c r="C836" s="122"/>
      <c r="D836" s="122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>
      <c r="A837" s="113"/>
      <c r="B837" s="113"/>
      <c r="C837" s="122"/>
      <c r="D837" s="122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>
      <c r="A838" s="113"/>
      <c r="B838" s="113"/>
      <c r="C838" s="122"/>
      <c r="D838" s="122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>
      <c r="A839" s="113"/>
      <c r="B839" s="113"/>
      <c r="C839" s="122"/>
      <c r="D839" s="122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>
      <c r="A840" s="113"/>
      <c r="B840" s="113"/>
      <c r="C840" s="122"/>
      <c r="D840" s="122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>
      <c r="A841" s="113"/>
      <c r="B841" s="113"/>
      <c r="C841" s="122"/>
      <c r="D841" s="122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>
      <c r="A842" s="113"/>
      <c r="B842" s="113"/>
      <c r="C842" s="122"/>
      <c r="D842" s="122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>
      <c r="A843" s="113"/>
      <c r="B843" s="113"/>
      <c r="C843" s="122"/>
      <c r="D843" s="122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>
      <c r="A844" s="113"/>
      <c r="B844" s="113"/>
      <c r="C844" s="122"/>
      <c r="D844" s="122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>
      <c r="A845" s="113"/>
      <c r="B845" s="113"/>
      <c r="C845" s="122"/>
      <c r="D845" s="122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>
      <c r="A846" s="113"/>
      <c r="B846" s="113"/>
      <c r="C846" s="122"/>
      <c r="D846" s="122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>
      <c r="A847" s="113"/>
      <c r="B847" s="113"/>
      <c r="C847" s="122"/>
      <c r="D847" s="122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>
      <c r="A848" s="113"/>
      <c r="B848" s="113"/>
      <c r="C848" s="122"/>
      <c r="D848" s="122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>
      <c r="A849" s="113"/>
      <c r="B849" s="113"/>
      <c r="C849" s="122"/>
      <c r="D849" s="122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>
      <c r="A850" s="113"/>
      <c r="B850" s="113"/>
      <c r="C850" s="122"/>
      <c r="D850" s="122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>
      <c r="A851" s="113"/>
      <c r="B851" s="113"/>
      <c r="C851" s="122"/>
      <c r="D851" s="122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>
      <c r="A852" s="113"/>
      <c r="B852" s="113"/>
      <c r="C852" s="122"/>
      <c r="D852" s="122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>
      <c r="A853" s="113"/>
      <c r="B853" s="113"/>
      <c r="C853" s="122"/>
      <c r="D853" s="122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>
      <c r="A854" s="113"/>
      <c r="B854" s="113"/>
      <c r="C854" s="122"/>
      <c r="D854" s="122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>
      <c r="A855" s="113"/>
      <c r="B855" s="113"/>
      <c r="C855" s="122"/>
      <c r="D855" s="122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>
      <c r="A856" s="113"/>
      <c r="B856" s="113"/>
      <c r="C856" s="122"/>
      <c r="D856" s="122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>
      <c r="A857" s="113"/>
      <c r="B857" s="113"/>
      <c r="C857" s="122"/>
      <c r="D857" s="122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>
      <c r="A858" s="113"/>
      <c r="B858" s="113"/>
      <c r="C858" s="122"/>
      <c r="D858" s="122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>
      <c r="A859" s="113"/>
      <c r="B859" s="113"/>
      <c r="C859" s="122"/>
      <c r="D859" s="122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>
      <c r="A860" s="113"/>
      <c r="B860" s="113"/>
      <c r="C860" s="122"/>
      <c r="D860" s="122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>
      <c r="A861" s="113"/>
      <c r="B861" s="113"/>
      <c r="C861" s="122"/>
      <c r="D861" s="122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>
      <c r="A862" s="113"/>
      <c r="B862" s="113"/>
      <c r="C862" s="122"/>
      <c r="D862" s="122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>
      <c r="A863" s="113"/>
      <c r="B863" s="113"/>
      <c r="C863" s="122"/>
      <c r="D863" s="122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>
      <c r="A864" s="113"/>
      <c r="B864" s="113"/>
      <c r="C864" s="122"/>
      <c r="D864" s="122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>
      <c r="A865" s="113"/>
      <c r="B865" s="113"/>
      <c r="C865" s="122"/>
      <c r="D865" s="122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>
      <c r="A866" s="113"/>
      <c r="B866" s="113"/>
      <c r="C866" s="122"/>
      <c r="D866" s="122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>
      <c r="A867" s="113"/>
      <c r="B867" s="113"/>
      <c r="C867" s="122"/>
      <c r="D867" s="122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>
      <c r="A868" s="113"/>
      <c r="B868" s="113"/>
      <c r="C868" s="122"/>
      <c r="D868" s="122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>
      <c r="A869" s="113"/>
      <c r="B869" s="113"/>
      <c r="C869" s="122"/>
      <c r="D869" s="122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>
      <c r="A870" s="113"/>
      <c r="B870" s="113"/>
      <c r="C870" s="122"/>
      <c r="D870" s="122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>
      <c r="A871" s="113"/>
      <c r="B871" s="113"/>
      <c r="C871" s="122"/>
      <c r="D871" s="122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>
      <c r="A872" s="113"/>
      <c r="B872" s="113"/>
      <c r="C872" s="122"/>
      <c r="D872" s="122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>
      <c r="A873" s="113"/>
      <c r="B873" s="113"/>
      <c r="C873" s="122"/>
      <c r="D873" s="122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>
      <c r="A874" s="113"/>
      <c r="B874" s="113"/>
      <c r="C874" s="122"/>
      <c r="D874" s="122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>
      <c r="A875" s="113"/>
      <c r="B875" s="113"/>
      <c r="C875" s="122"/>
      <c r="D875" s="122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>
      <c r="A876" s="113"/>
      <c r="B876" s="113"/>
      <c r="C876" s="122"/>
      <c r="D876" s="122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>
      <c r="A877" s="113"/>
      <c r="B877" s="113"/>
      <c r="C877" s="122"/>
      <c r="D877" s="122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>
      <c r="A878" s="113"/>
      <c r="B878" s="113"/>
      <c r="C878" s="122"/>
      <c r="D878" s="122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>
      <c r="A879" s="113"/>
      <c r="B879" s="113"/>
      <c r="C879" s="122"/>
      <c r="D879" s="122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>
      <c r="A880" s="113"/>
      <c r="B880" s="113"/>
      <c r="C880" s="122"/>
      <c r="D880" s="122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>
      <c r="A881" s="113"/>
      <c r="B881" s="113"/>
      <c r="C881" s="122"/>
      <c r="D881" s="122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>
      <c r="A882" s="113"/>
      <c r="B882" s="113"/>
      <c r="C882" s="122"/>
      <c r="D882" s="122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>
      <c r="A883" s="113"/>
      <c r="B883" s="113"/>
      <c r="C883" s="122"/>
      <c r="D883" s="122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>
      <c r="A884" s="113"/>
      <c r="B884" s="113"/>
      <c r="C884" s="122"/>
      <c r="D884" s="122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>
      <c r="A885" s="113"/>
      <c r="B885" s="113"/>
      <c r="C885" s="122"/>
      <c r="D885" s="122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>
      <c r="A886" s="113"/>
      <c r="B886" s="113"/>
      <c r="C886" s="122"/>
      <c r="D886" s="122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>
      <c r="A887" s="113"/>
      <c r="B887" s="113"/>
      <c r="C887" s="122"/>
      <c r="D887" s="122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>
      <c r="A888" s="113"/>
      <c r="B888" s="113"/>
      <c r="C888" s="122"/>
      <c r="D888" s="122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>
      <c r="A889" s="113"/>
      <c r="B889" s="113"/>
      <c r="C889" s="122"/>
      <c r="D889" s="122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>
      <c r="A890" s="113"/>
      <c r="B890" s="113"/>
      <c r="C890" s="122"/>
      <c r="D890" s="122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>
      <c r="A891" s="113"/>
      <c r="B891" s="113"/>
      <c r="C891" s="122"/>
      <c r="D891" s="122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>
      <c r="A892" s="113"/>
      <c r="B892" s="113"/>
      <c r="C892" s="122"/>
      <c r="D892" s="122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>
      <c r="A893" s="113"/>
      <c r="B893" s="113"/>
      <c r="C893" s="122"/>
      <c r="D893" s="122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>
      <c r="A894" s="113"/>
      <c r="B894" s="113"/>
      <c r="C894" s="122"/>
      <c r="D894" s="122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>
      <c r="A895" s="113"/>
      <c r="B895" s="113"/>
      <c r="C895" s="122"/>
      <c r="D895" s="122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>
      <c r="A896" s="113"/>
      <c r="B896" s="113"/>
      <c r="C896" s="122"/>
      <c r="D896" s="122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>
      <c r="A897" s="113"/>
      <c r="B897" s="113"/>
      <c r="C897" s="122"/>
      <c r="D897" s="122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>
      <c r="A898" s="113"/>
      <c r="B898" s="113"/>
      <c r="C898" s="122"/>
      <c r="D898" s="122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>
      <c r="A899" s="113"/>
      <c r="B899" s="113"/>
      <c r="C899" s="122"/>
      <c r="D899" s="122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>
      <c r="A900" s="113"/>
      <c r="B900" s="113"/>
      <c r="C900" s="122"/>
      <c r="D900" s="122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>
      <c r="A901" s="113"/>
      <c r="B901" s="113"/>
      <c r="C901" s="122"/>
      <c r="D901" s="122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>
      <c r="A902" s="113"/>
      <c r="B902" s="113"/>
      <c r="C902" s="122"/>
      <c r="D902" s="122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>
      <c r="A903" s="113"/>
      <c r="B903" s="113"/>
      <c r="C903" s="122"/>
      <c r="D903" s="122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>
      <c r="A904" s="113"/>
      <c r="B904" s="113"/>
      <c r="C904" s="122"/>
      <c r="D904" s="122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>
      <c r="A905" s="113"/>
      <c r="B905" s="113"/>
      <c r="C905" s="122"/>
      <c r="D905" s="122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>
      <c r="A906" s="113"/>
      <c r="B906" s="113"/>
      <c r="C906" s="122"/>
      <c r="D906" s="122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>
      <c r="A907" s="113"/>
      <c r="B907" s="113"/>
      <c r="C907" s="122"/>
      <c r="D907" s="122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>
      <c r="A908" s="113"/>
      <c r="B908" s="113"/>
      <c r="C908" s="122"/>
      <c r="D908" s="122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>
      <c r="A909" s="113"/>
      <c r="B909" s="113"/>
      <c r="C909" s="122"/>
      <c r="D909" s="122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>
      <c r="A910" s="113"/>
      <c r="B910" s="113"/>
      <c r="C910" s="122"/>
      <c r="D910" s="122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>
      <c r="A911" s="113"/>
      <c r="B911" s="113"/>
      <c r="C911" s="122"/>
      <c r="D911" s="122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>
      <c r="A912" s="113"/>
      <c r="B912" s="113"/>
      <c r="C912" s="122"/>
      <c r="D912" s="122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>
      <c r="A913" s="113"/>
      <c r="B913" s="113"/>
      <c r="C913" s="122"/>
      <c r="D913" s="122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>
      <c r="A914" s="113"/>
      <c r="B914" s="113"/>
      <c r="C914" s="122"/>
      <c r="D914" s="122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>
      <c r="A915" s="113"/>
      <c r="B915" s="113"/>
      <c r="C915" s="122"/>
      <c r="D915" s="122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>
      <c r="A916" s="113"/>
      <c r="B916" s="113"/>
      <c r="C916" s="122"/>
      <c r="D916" s="122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>
      <c r="A917" s="113"/>
      <c r="B917" s="113"/>
      <c r="C917" s="122"/>
      <c r="D917" s="122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>
      <c r="A918" s="113"/>
      <c r="B918" s="113"/>
      <c r="C918" s="122"/>
      <c r="D918" s="122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>
      <c r="A919" s="113"/>
      <c r="B919" s="113"/>
      <c r="C919" s="122"/>
      <c r="D919" s="122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>
      <c r="A920" s="113"/>
      <c r="B920" s="113"/>
      <c r="C920" s="122"/>
      <c r="D920" s="122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>
      <c r="A921" s="113"/>
      <c r="B921" s="113"/>
      <c r="C921" s="122"/>
      <c r="D921" s="122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>
      <c r="A922" s="113"/>
      <c r="B922" s="113"/>
      <c r="C922" s="122"/>
      <c r="D922" s="122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>
      <c r="A923" s="113"/>
      <c r="B923" s="113"/>
      <c r="C923" s="122"/>
      <c r="D923" s="122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>
      <c r="A924" s="113"/>
      <c r="B924" s="113"/>
      <c r="C924" s="122"/>
      <c r="D924" s="122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>
      <c r="A925" s="113"/>
      <c r="B925" s="113"/>
      <c r="C925" s="122"/>
      <c r="D925" s="122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>
      <c r="A926" s="113"/>
      <c r="B926" s="113"/>
      <c r="C926" s="122"/>
      <c r="D926" s="122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>
      <c r="A927" s="113"/>
      <c r="B927" s="113"/>
      <c r="C927" s="122"/>
      <c r="D927" s="122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>
      <c r="A928" s="113"/>
      <c r="B928" s="113"/>
      <c r="C928" s="122"/>
      <c r="D928" s="122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>
      <c r="A929" s="113"/>
      <c r="B929" s="113"/>
      <c r="C929" s="122"/>
      <c r="D929" s="122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>
      <c r="A930" s="113"/>
      <c r="B930" s="113"/>
      <c r="C930" s="122"/>
      <c r="D930" s="122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>
      <c r="A931" s="113"/>
      <c r="B931" s="113"/>
      <c r="C931" s="122"/>
      <c r="D931" s="122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>
      <c r="A932" s="113"/>
      <c r="B932" s="113"/>
      <c r="C932" s="122"/>
      <c r="D932" s="122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>
      <c r="A933" s="113"/>
      <c r="B933" s="113"/>
      <c r="C933" s="122"/>
      <c r="D933" s="122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>
      <c r="A934" s="113"/>
      <c r="B934" s="113"/>
      <c r="C934" s="122"/>
      <c r="D934" s="122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>
      <c r="A935" s="113"/>
      <c r="B935" s="113"/>
      <c r="C935" s="122"/>
      <c r="D935" s="122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>
      <c r="A936" s="113"/>
      <c r="B936" s="113"/>
      <c r="C936" s="122"/>
      <c r="D936" s="122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>
      <c r="A937" s="113"/>
      <c r="B937" s="113"/>
      <c r="C937" s="122"/>
      <c r="D937" s="122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>
      <c r="A938" s="113"/>
      <c r="B938" s="113"/>
      <c r="C938" s="122"/>
      <c r="D938" s="122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>
      <c r="A939" s="113"/>
      <c r="B939" s="113"/>
      <c r="C939" s="122"/>
      <c r="D939" s="122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>
      <c r="A940" s="113"/>
      <c r="B940" s="113"/>
      <c r="C940" s="122"/>
      <c r="D940" s="122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>
      <c r="A941" s="113"/>
      <c r="B941" s="113"/>
      <c r="C941" s="122"/>
      <c r="D941" s="122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>
      <c r="A942" s="113"/>
      <c r="B942" s="113"/>
      <c r="C942" s="122"/>
      <c r="D942" s="122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>
      <c r="A943" s="113"/>
      <c r="B943" s="113"/>
      <c r="C943" s="122"/>
      <c r="D943" s="122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>
      <c r="A944" s="113"/>
      <c r="B944" s="113"/>
      <c r="C944" s="122"/>
      <c r="D944" s="122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>
      <c r="A945" s="113"/>
      <c r="B945" s="113"/>
      <c r="C945" s="122"/>
      <c r="D945" s="122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>
      <c r="A946" s="113"/>
      <c r="B946" s="113"/>
      <c r="C946" s="122"/>
      <c r="D946" s="122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>
      <c r="A947" s="113"/>
      <c r="B947" s="113"/>
      <c r="C947" s="122"/>
      <c r="D947" s="122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>
      <c r="A948" s="113"/>
      <c r="B948" s="113"/>
      <c r="C948" s="122"/>
      <c r="D948" s="122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>
      <c r="A949" s="113"/>
      <c r="B949" s="113"/>
      <c r="C949" s="122"/>
      <c r="D949" s="122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>
      <c r="A950" s="113"/>
      <c r="B950" s="113"/>
      <c r="C950" s="122"/>
      <c r="D950" s="122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>
      <c r="A951" s="113"/>
      <c r="B951" s="113"/>
      <c r="C951" s="122"/>
      <c r="D951" s="122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>
      <c r="A952" s="113"/>
      <c r="B952" s="113"/>
      <c r="C952" s="122"/>
      <c r="D952" s="122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>
      <c r="A953" s="113"/>
      <c r="B953" s="113"/>
      <c r="C953" s="122"/>
      <c r="D953" s="122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>
      <c r="A954" s="113"/>
      <c r="B954" s="113"/>
      <c r="C954" s="122"/>
      <c r="D954" s="122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>
      <c r="A955" s="113"/>
      <c r="B955" s="113"/>
      <c r="C955" s="122"/>
      <c r="D955" s="122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>
      <c r="A956" s="113"/>
      <c r="B956" s="113"/>
      <c r="C956" s="122"/>
      <c r="D956" s="122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>
      <c r="A957" s="113"/>
      <c r="B957" s="113"/>
      <c r="C957" s="122"/>
      <c r="D957" s="122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>
      <c r="A958" s="113"/>
      <c r="B958" s="113"/>
      <c r="C958" s="122"/>
      <c r="D958" s="122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>
      <c r="A959" s="113"/>
      <c r="B959" s="113"/>
      <c r="C959" s="122"/>
      <c r="D959" s="122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>
      <c r="A960" s="113"/>
      <c r="B960" s="113"/>
      <c r="C960" s="122"/>
      <c r="D960" s="122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>
      <c r="A961" s="113"/>
      <c r="B961" s="113"/>
      <c r="C961" s="122"/>
      <c r="D961" s="122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>
      <c r="A962" s="113"/>
      <c r="B962" s="113"/>
      <c r="C962" s="122"/>
      <c r="D962" s="122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>
      <c r="A963" s="113"/>
      <c r="B963" s="113"/>
      <c r="C963" s="122"/>
      <c r="D963" s="122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>
      <c r="A964" s="113"/>
      <c r="B964" s="113"/>
      <c r="C964" s="122"/>
      <c r="D964" s="122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>
      <c r="A965" s="113"/>
      <c r="B965" s="113"/>
      <c r="C965" s="122"/>
      <c r="D965" s="122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>
      <c r="A966" s="113"/>
      <c r="B966" s="113"/>
      <c r="C966" s="122"/>
      <c r="D966" s="122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>
      <c r="A967" s="113"/>
      <c r="B967" s="113"/>
      <c r="C967" s="122"/>
      <c r="D967" s="122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>
      <c r="A968" s="113"/>
      <c r="B968" s="113"/>
      <c r="C968" s="122"/>
      <c r="D968" s="122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>
      <c r="A969" s="113"/>
      <c r="B969" s="113"/>
      <c r="C969" s="122"/>
      <c r="D969" s="122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>
      <c r="A970" s="113"/>
      <c r="B970" s="113"/>
      <c r="C970" s="122"/>
      <c r="D970" s="122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>
      <c r="A971" s="113"/>
      <c r="B971" s="113"/>
      <c r="C971" s="122"/>
      <c r="D971" s="122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>
      <c r="A972" s="113"/>
      <c r="B972" s="113"/>
      <c r="C972" s="122"/>
      <c r="D972" s="122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>
      <c r="A973" s="113"/>
      <c r="B973" s="113"/>
      <c r="C973" s="122"/>
      <c r="D973" s="122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>
      <c r="A974" s="113"/>
      <c r="B974" s="113"/>
      <c r="C974" s="122"/>
      <c r="D974" s="122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>
      <c r="A975" s="113"/>
      <c r="B975" s="113"/>
      <c r="C975" s="122"/>
      <c r="D975" s="122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>
      <c r="A976" s="113"/>
      <c r="B976" s="113"/>
      <c r="C976" s="122"/>
      <c r="D976" s="122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>
      <c r="A977" s="113"/>
      <c r="B977" s="113"/>
      <c r="C977" s="122"/>
      <c r="D977" s="122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>
      <c r="A978" s="113"/>
      <c r="B978" s="113"/>
      <c r="C978" s="122"/>
      <c r="D978" s="122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>
      <c r="A979" s="113"/>
      <c r="B979" s="113"/>
      <c r="C979" s="122"/>
      <c r="D979" s="122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>
      <c r="A980" s="113"/>
      <c r="B980" s="113"/>
      <c r="C980" s="122"/>
      <c r="D980" s="122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>
      <c r="A981" s="113"/>
      <c r="B981" s="113"/>
      <c r="C981" s="122"/>
      <c r="D981" s="122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>
      <c r="A982" s="113"/>
      <c r="B982" s="113"/>
      <c r="C982" s="122"/>
      <c r="D982" s="122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>
      <c r="A983" s="113"/>
      <c r="B983" s="113"/>
      <c r="C983" s="122"/>
      <c r="D983" s="122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>
      <c r="A984" s="113"/>
      <c r="B984" s="113"/>
      <c r="C984" s="122"/>
      <c r="D984" s="122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>
      <c r="A985" s="113"/>
      <c r="B985" s="113"/>
      <c r="C985" s="122"/>
      <c r="D985" s="122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>
      <c r="A986" s="113"/>
      <c r="B986" s="113"/>
      <c r="C986" s="122"/>
      <c r="D986" s="122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>
      <c r="A987" s="113"/>
      <c r="B987" s="113"/>
      <c r="C987" s="122"/>
      <c r="D987" s="122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>
      <c r="A988" s="113"/>
      <c r="B988" s="113"/>
      <c r="C988" s="122"/>
      <c r="D988" s="122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>
      <c r="A989" s="113"/>
      <c r="B989" s="113"/>
      <c r="C989" s="122"/>
      <c r="D989" s="122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>
      <c r="A990" s="113"/>
      <c r="B990" s="113"/>
      <c r="C990" s="122"/>
      <c r="D990" s="122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>
      <c r="A991" s="113"/>
      <c r="B991" s="113"/>
      <c r="C991" s="122"/>
      <c r="D991" s="122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>
      <c r="A992" s="113"/>
      <c r="B992" s="113"/>
      <c r="C992" s="122"/>
      <c r="D992" s="122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>
      <c r="A993" s="113"/>
      <c r="B993" s="113"/>
      <c r="C993" s="122"/>
      <c r="D993" s="122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>
      <c r="A994" s="113"/>
      <c r="B994" s="113"/>
      <c r="C994" s="122"/>
      <c r="D994" s="122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>
      <c r="A995" s="113"/>
      <c r="B995" s="113"/>
      <c r="C995" s="122"/>
      <c r="D995" s="122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>
      <c r="A996" s="113"/>
      <c r="B996" s="113"/>
      <c r="C996" s="122"/>
      <c r="D996" s="122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>
      <c r="A997" s="113"/>
      <c r="B997" s="113"/>
      <c r="C997" s="122"/>
      <c r="D997" s="122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>
      <c r="A998" s="113"/>
      <c r="B998" s="113"/>
      <c r="C998" s="122"/>
      <c r="D998" s="122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>
      <c r="A999" s="113"/>
      <c r="B999" s="113"/>
      <c r="C999" s="122"/>
      <c r="D999" s="122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>
      <c r="A1000" s="113"/>
      <c r="B1000" s="113"/>
      <c r="C1000" s="122"/>
      <c r="D1000" s="122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4"/>
    <hyperlink r:id="rId12" ref="B17"/>
    <hyperlink r:id="rId13" ref="B19"/>
    <hyperlink r:id="rId14" ref="B20"/>
    <hyperlink r:id="rId15" ref="B21"/>
  </hyperlinks>
  <drawing r:id="rId16"/>
  <tableParts count="1">
    <tablePart r:id="rId1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5.29"/>
    <col customWidth="1" min="2" max="2" width="29.29"/>
    <col customWidth="1" min="3" max="3" width="32.57"/>
    <col customWidth="1" min="4" max="4" width="22.57"/>
    <col customWidth="1" min="5" max="5" width="19.86"/>
    <col customWidth="1" min="6" max="6" width="42.43"/>
    <col customWidth="1" min="7" max="26" width="8.71"/>
  </cols>
  <sheetData>
    <row r="1" ht="14.25" hidden="1" customHeight="1">
      <c r="A1" s="7" t="s">
        <v>5621</v>
      </c>
      <c r="B1" s="8" t="str">
        <f>'LIBERAÇÕES'!E12</f>
        <v>TABAPORA-MT</v>
      </c>
      <c r="C1" s="7" t="s">
        <v>5622</v>
      </c>
      <c r="D1" s="12" t="str">
        <f>'LIBERAÇÕES'!F12</f>
        <v>ALG INDIO POSSESSO</v>
      </c>
      <c r="E1" s="10">
        <f>'LIBERAÇÕES'!L12</f>
        <v>-61</v>
      </c>
      <c r="F1" s="11" t="s">
        <v>5623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hidden="1" customHeight="1">
      <c r="A2" s="7" t="s">
        <v>5624</v>
      </c>
      <c r="B2" s="8" t="str">
        <f>'LIBERAÇÕES'!G12</f>
        <v>RONDONOPOLIS-MT</v>
      </c>
      <c r="C2" s="7" t="s">
        <v>5625</v>
      </c>
      <c r="D2" s="12" t="str">
        <f>'LIBERAÇÕES'!M12</f>
        <v>LDC</v>
      </c>
      <c r="E2" s="13" t="s">
        <v>5626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hidden="1" customHeight="1">
      <c r="A3" s="15" t="s">
        <v>5627</v>
      </c>
      <c r="B3" s="12" t="str">
        <f>'LIBERAÇÕES'!C12</f>
        <v>NUTRADE </v>
      </c>
      <c r="C3" s="15" t="s">
        <v>5628</v>
      </c>
      <c r="D3" s="123">
        <v>1980.0</v>
      </c>
      <c r="E3" s="17" t="str">
        <f>'LIBERAÇÕES'!N12</f>
        <v>FARDÃO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hidden="1" customHeight="1">
      <c r="A4" s="15" t="s">
        <v>5629</v>
      </c>
      <c r="B4" s="18" t="str">
        <f>'LIBERAÇÕES'!J12</f>
        <v>RDN-EXP-RDN-25-AL114</v>
      </c>
      <c r="C4" s="19" t="s">
        <v>5630</v>
      </c>
      <c r="D4" s="16">
        <f>SUM(E7:E15)</f>
        <v>1980</v>
      </c>
      <c r="E4" s="13" t="s">
        <v>5631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hidden="1" customHeight="1">
      <c r="A5" s="15" t="s">
        <v>5632</v>
      </c>
      <c r="B5" s="20">
        <f>'LIBERAÇÕES'!K12</f>
        <v>46081</v>
      </c>
      <c r="C5" s="21" t="s">
        <v>5633</v>
      </c>
      <c r="D5" s="22">
        <f>D3-D4</f>
        <v>0</v>
      </c>
      <c r="E5" s="17">
        <f>'LIBERAÇÕES'!H12</f>
        <v>360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hidden="1" customHeight="1">
      <c r="A6" s="23" t="s">
        <v>1</v>
      </c>
      <c r="B6" s="23" t="s">
        <v>5634</v>
      </c>
      <c r="C6" s="23" t="s">
        <v>5635</v>
      </c>
      <c r="D6" s="23" t="s">
        <v>5636</v>
      </c>
      <c r="E6" s="24" t="s">
        <v>5637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hidden="1" customHeight="1">
      <c r="A7" s="25" t="s">
        <v>37</v>
      </c>
      <c r="B7" s="124" t="s">
        <v>5831</v>
      </c>
      <c r="C7" s="25" t="s">
        <v>34</v>
      </c>
      <c r="D7" s="125">
        <v>310.0</v>
      </c>
      <c r="E7" s="124">
        <v>220.0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hidden="1" customHeight="1">
      <c r="A8" s="25" t="s">
        <v>37</v>
      </c>
      <c r="B8" s="124" t="s">
        <v>5832</v>
      </c>
      <c r="C8" s="25" t="s">
        <v>34</v>
      </c>
      <c r="D8" s="125">
        <v>310.0</v>
      </c>
      <c r="E8" s="124">
        <v>220.0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hidden="1" customHeight="1">
      <c r="A9" s="25" t="s">
        <v>37</v>
      </c>
      <c r="B9" s="124" t="s">
        <v>5833</v>
      </c>
      <c r="C9" s="25" t="s">
        <v>34</v>
      </c>
      <c r="D9" s="125">
        <v>300.0</v>
      </c>
      <c r="E9" s="124">
        <v>220.0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hidden="1" customHeight="1">
      <c r="A10" s="25" t="s">
        <v>37</v>
      </c>
      <c r="B10" s="124" t="s">
        <v>5834</v>
      </c>
      <c r="C10" s="25" t="s">
        <v>34</v>
      </c>
      <c r="D10" s="125">
        <v>300.0</v>
      </c>
      <c r="E10" s="124">
        <v>220.0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hidden="1" customHeight="1">
      <c r="A11" s="25" t="s">
        <v>37</v>
      </c>
      <c r="B11" s="124" t="s">
        <v>5832</v>
      </c>
      <c r="C11" s="25" t="s">
        <v>34</v>
      </c>
      <c r="D11" s="125">
        <v>300.0</v>
      </c>
      <c r="E11" s="124">
        <v>220.0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hidden="1" customHeight="1">
      <c r="A12" s="25" t="s">
        <v>37</v>
      </c>
      <c r="B12" s="124" t="s">
        <v>5834</v>
      </c>
      <c r="C12" s="25" t="s">
        <v>34</v>
      </c>
      <c r="D12" s="125">
        <v>300.0</v>
      </c>
      <c r="E12" s="124">
        <v>220.0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hidden="1" customHeight="1">
      <c r="A13" s="25" t="s">
        <v>37</v>
      </c>
      <c r="B13" s="124" t="s">
        <v>5835</v>
      </c>
      <c r="C13" s="25" t="s">
        <v>34</v>
      </c>
      <c r="D13" s="125">
        <v>300.0</v>
      </c>
      <c r="E13" s="124">
        <v>228.0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hidden="1" customHeight="1">
      <c r="A14" s="25" t="s">
        <v>37</v>
      </c>
      <c r="B14" s="124" t="s">
        <v>5836</v>
      </c>
      <c r="C14" s="25" t="s">
        <v>34</v>
      </c>
      <c r="D14" s="125">
        <v>280.0</v>
      </c>
      <c r="E14" s="124">
        <v>212.0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hidden="1" customHeight="1">
      <c r="A15" s="25" t="s">
        <v>37</v>
      </c>
      <c r="B15" s="124" t="s">
        <v>5837</v>
      </c>
      <c r="C15" s="25" t="s">
        <v>34</v>
      </c>
      <c r="D15" s="125">
        <v>280.0</v>
      </c>
      <c r="E15" s="124">
        <v>220.0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hidden="1" customHeight="1">
      <c r="A16" s="126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8"/>
      <c r="X16" s="5"/>
      <c r="Y16" s="5"/>
      <c r="Z16" s="5"/>
    </row>
    <row r="17" ht="14.25" hidden="1" customHeight="1">
      <c r="A17" s="7" t="s">
        <v>5621</v>
      </c>
      <c r="B17" s="8" t="str">
        <f>'LIBERAÇÕES'!E17</f>
        <v>PORTO DOS GAUCHOS-MT</v>
      </c>
      <c r="C17" s="7" t="s">
        <v>5622</v>
      </c>
      <c r="D17" s="12" t="str">
        <f>'LIBERAÇÕES'!F17</f>
        <v>ALG AGROVERA</v>
      </c>
      <c r="E17" s="10">
        <f>'LIBERAÇÕES'!L17</f>
        <v>-71</v>
      </c>
      <c r="F17" s="11" t="s">
        <v>5623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hidden="1" customHeight="1">
      <c r="A18" s="7" t="s">
        <v>5624</v>
      </c>
      <c r="B18" s="8" t="str">
        <f>'LIBERAÇÕES'!G17</f>
        <v>GUARUJA-SP</v>
      </c>
      <c r="C18" s="7" t="s">
        <v>5625</v>
      </c>
      <c r="D18" s="12" t="str">
        <f>'LIBERAÇÕES'!M17</f>
        <v>MOVECITA</v>
      </c>
      <c r="E18" s="13" t="s">
        <v>5626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hidden="1" customHeight="1">
      <c r="A19" s="15" t="s">
        <v>5627</v>
      </c>
      <c r="B19" s="12" t="str">
        <f>'LIBERAÇÕES'!C17</f>
        <v>BOA ESPERANÇA</v>
      </c>
      <c r="C19" s="15" t="s">
        <v>5628</v>
      </c>
      <c r="D19" s="16">
        <f>'LIBERAÇÕES'!I17</f>
        <v>137</v>
      </c>
      <c r="E19" s="17" t="str">
        <f>'LIBERAÇÕES'!N17</f>
        <v>FARDINHO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hidden="1" customHeight="1">
      <c r="A20" s="15" t="s">
        <v>5629</v>
      </c>
      <c r="B20" s="18" t="str">
        <f>'LIBERAÇÕES'!J17</f>
        <v>BOA02525 </v>
      </c>
      <c r="C20" s="19" t="s">
        <v>5630</v>
      </c>
      <c r="D20" s="16">
        <f>SUM(E23:E24)</f>
        <v>137</v>
      </c>
      <c r="E20" s="13" t="s">
        <v>5631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hidden="1" customHeight="1">
      <c r="A21" s="15" t="s">
        <v>5632</v>
      </c>
      <c r="B21" s="20">
        <f>'LIBERAÇÕES'!K17</f>
        <v>46071</v>
      </c>
      <c r="C21" s="21" t="s">
        <v>5633</v>
      </c>
      <c r="D21" s="22">
        <f>D19-D20</f>
        <v>0</v>
      </c>
      <c r="E21" s="17">
        <f>'LIBERAÇÕES'!H17</f>
        <v>650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hidden="1" customHeight="1">
      <c r="A22" s="23" t="s">
        <v>1</v>
      </c>
      <c r="B22" s="23" t="s">
        <v>5634</v>
      </c>
      <c r="C22" s="23" t="s">
        <v>5635</v>
      </c>
      <c r="D22" s="23" t="s">
        <v>5636</v>
      </c>
      <c r="E22" s="24" t="s">
        <v>5637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hidden="1" customHeight="1">
      <c r="A23" s="25" t="s">
        <v>37</v>
      </c>
      <c r="B23" s="124" t="s">
        <v>5838</v>
      </c>
      <c r="C23" s="25" t="s">
        <v>10</v>
      </c>
      <c r="D23" s="125"/>
      <c r="E23" s="124">
        <v>137.0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hidden="1" customHeight="1">
      <c r="A24" s="25"/>
      <c r="B24" s="124"/>
      <c r="C24" s="34"/>
      <c r="D24" s="125"/>
      <c r="E24" s="12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hidden="1" customHeight="1">
      <c r="A25" s="126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8"/>
      <c r="X25" s="5"/>
      <c r="Y25" s="5"/>
      <c r="Z25" s="5"/>
    </row>
    <row r="26" ht="14.25" hidden="1" customHeight="1">
      <c r="A26" s="7" t="s">
        <v>5621</v>
      </c>
      <c r="B26" s="8" t="str">
        <f>'LIBERAÇÕES'!E19</f>
        <v>IPIRANGA DO NORTE-MT</v>
      </c>
      <c r="C26" s="7" t="s">
        <v>5622</v>
      </c>
      <c r="D26" s="12" t="str">
        <f>'LIBERAÇÕES'!F19</f>
        <v>ALG IPIRANGA</v>
      </c>
      <c r="E26" s="10">
        <f>'LIBERAÇÕES'!L19</f>
        <v>-71</v>
      </c>
      <c r="F26" s="11" t="s">
        <v>5623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hidden="1" customHeight="1">
      <c r="A27" s="7" t="s">
        <v>5624</v>
      </c>
      <c r="B27" s="8" t="str">
        <f>'LIBERAÇÕES'!G19</f>
        <v>GUARUJA-SP</v>
      </c>
      <c r="C27" s="7" t="s">
        <v>5625</v>
      </c>
      <c r="D27" s="12" t="str">
        <f>'LIBERAÇÕES'!M19</f>
        <v>MOVECITA</v>
      </c>
      <c r="E27" s="13" t="s">
        <v>5626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hidden="1" customHeight="1">
      <c r="A28" s="15" t="s">
        <v>5627</v>
      </c>
      <c r="B28" s="12" t="str">
        <f>'LIBERAÇÕES'!C19</f>
        <v>BOA ESPERANÇA</v>
      </c>
      <c r="C28" s="15" t="s">
        <v>5628</v>
      </c>
      <c r="D28" s="16">
        <f>'LIBERAÇÕES'!I19</f>
        <v>169</v>
      </c>
      <c r="E28" s="17" t="str">
        <f>'LIBERAÇÕES'!N19</f>
        <v>FARDINHO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hidden="1" customHeight="1">
      <c r="A29" s="15" t="s">
        <v>5629</v>
      </c>
      <c r="B29" s="18" t="str">
        <f>'LIBERAÇÕES'!J19</f>
        <v>BOA02525 </v>
      </c>
      <c r="C29" s="19" t="s">
        <v>5630</v>
      </c>
      <c r="D29" s="16">
        <f>SUM(E32:E33)</f>
        <v>169</v>
      </c>
      <c r="E29" s="13" t="s">
        <v>5631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hidden="1" customHeight="1">
      <c r="A30" s="15" t="s">
        <v>5632</v>
      </c>
      <c r="B30" s="20">
        <f>'LIBERAÇÕES'!K19</f>
        <v>46071</v>
      </c>
      <c r="C30" s="21" t="s">
        <v>5633</v>
      </c>
      <c r="D30" s="22">
        <f>D28-D29</f>
        <v>0</v>
      </c>
      <c r="E30" s="17">
        <f>'LIBERAÇÕES'!H19</f>
        <v>650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hidden="1" customHeight="1">
      <c r="A31" s="23" t="s">
        <v>1</v>
      </c>
      <c r="B31" s="23" t="s">
        <v>5634</v>
      </c>
      <c r="C31" s="23" t="s">
        <v>5635</v>
      </c>
      <c r="D31" s="23" t="s">
        <v>5636</v>
      </c>
      <c r="E31" s="24" t="s">
        <v>5637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hidden="1" customHeight="1">
      <c r="A32" s="25" t="s">
        <v>37</v>
      </c>
      <c r="B32" s="124" t="s">
        <v>5839</v>
      </c>
      <c r="C32" s="25" t="s">
        <v>34</v>
      </c>
      <c r="D32" s="125"/>
      <c r="E32" s="124">
        <v>169.0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hidden="1" customHeight="1">
      <c r="A33" s="25"/>
      <c r="B33" s="124"/>
      <c r="C33" s="34"/>
      <c r="D33" s="125"/>
      <c r="E33" s="12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hidden="1" customHeight="1">
      <c r="A34" s="126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8"/>
      <c r="X34" s="5"/>
      <c r="Y34" s="5"/>
      <c r="Z34" s="5"/>
    </row>
    <row r="35" ht="14.25" hidden="1" customHeight="1">
      <c r="A35" s="7" t="s">
        <v>5621</v>
      </c>
      <c r="B35" s="8" t="str">
        <f>'LIBERAÇÕES'!E22</f>
        <v>IPIRANGA DO NORTE-MT</v>
      </c>
      <c r="C35" s="7" t="s">
        <v>5622</v>
      </c>
      <c r="D35" s="12" t="str">
        <f>'LIBERAÇÕES'!F22</f>
        <v>ALG 242</v>
      </c>
      <c r="E35" s="10">
        <f>'LIBERAÇÕES'!L22</f>
        <v>-73</v>
      </c>
      <c r="F35" s="11" t="s">
        <v>5623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hidden="1" customHeight="1">
      <c r="A36" s="7" t="s">
        <v>5624</v>
      </c>
      <c r="B36" s="8" t="str">
        <f>'LIBERAÇÕES'!G22</f>
        <v>SANTOS-SP</v>
      </c>
      <c r="C36" s="7" t="s">
        <v>5625</v>
      </c>
      <c r="D36" s="12" t="str">
        <f>'LIBERAÇÕES'!M22</f>
        <v>SIGMA</v>
      </c>
      <c r="E36" s="13" t="s">
        <v>5626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hidden="1" customHeight="1">
      <c r="A37" s="15" t="s">
        <v>5627</v>
      </c>
      <c r="B37" s="12" t="str">
        <f>'LIBERAÇÕES'!C22</f>
        <v>COFCO</v>
      </c>
      <c r="C37" s="15" t="s">
        <v>5628</v>
      </c>
      <c r="D37" s="16">
        <f>'LIBERAÇÕES'!I22</f>
        <v>157</v>
      </c>
      <c r="E37" s="17" t="str">
        <f>'LIBERAÇÕES'!N22</f>
        <v>FARDINHO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hidden="1" customHeight="1">
      <c r="A38" s="15" t="s">
        <v>5629</v>
      </c>
      <c r="B38" s="18" t="str">
        <f>'LIBERAÇÕES'!J22</f>
        <v>S07423-MAR-01</v>
      </c>
      <c r="C38" s="19" t="s">
        <v>5630</v>
      </c>
      <c r="D38" s="16">
        <f>SUM(E41:E42)</f>
        <v>157</v>
      </c>
      <c r="E38" s="13" t="s">
        <v>5631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hidden="1" customHeight="1">
      <c r="A39" s="15" t="s">
        <v>5632</v>
      </c>
      <c r="B39" s="20">
        <f>'LIBERAÇÕES'!K22</f>
        <v>46069</v>
      </c>
      <c r="C39" s="21" t="s">
        <v>5633</v>
      </c>
      <c r="D39" s="22">
        <f>D37-D38</f>
        <v>0</v>
      </c>
      <c r="E39" s="17">
        <f>'LIBERAÇÕES'!H22</f>
        <v>660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hidden="1" customHeight="1">
      <c r="A40" s="23" t="s">
        <v>1</v>
      </c>
      <c r="B40" s="23" t="s">
        <v>5634</v>
      </c>
      <c r="C40" s="23" t="s">
        <v>5635</v>
      </c>
      <c r="D40" s="23" t="s">
        <v>5636</v>
      </c>
      <c r="E40" s="24" t="s">
        <v>5637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hidden="1" customHeight="1">
      <c r="A41" s="25" t="s">
        <v>37</v>
      </c>
      <c r="B41" s="124" t="s">
        <v>5840</v>
      </c>
      <c r="C41" s="25" t="s">
        <v>10</v>
      </c>
      <c r="D41" s="125"/>
      <c r="E41" s="124">
        <v>157.0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hidden="1" customHeight="1">
      <c r="A42" s="25"/>
      <c r="B42" s="124"/>
      <c r="C42" s="34"/>
      <c r="D42" s="125"/>
      <c r="E42" s="12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hidden="1" customHeight="1">
      <c r="A43" s="126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8"/>
      <c r="X43" s="5"/>
      <c r="Y43" s="5"/>
      <c r="Z43" s="5"/>
    </row>
    <row r="44" ht="14.25" hidden="1" customHeight="1">
      <c r="A44" s="7" t="s">
        <v>5621</v>
      </c>
      <c r="B44" s="8" t="str">
        <f>'LIBERAÇÕES'!E46</f>
        <v>SINOP-MT</v>
      </c>
      <c r="C44" s="7" t="s">
        <v>5622</v>
      </c>
      <c r="D44" s="12" t="str">
        <f>'LIBERAÇÕES'!F46</f>
        <v>ALG PRANTE</v>
      </c>
      <c r="E44" s="10">
        <f>'LIBERAÇÕES'!L46</f>
        <v>-55</v>
      </c>
      <c r="F44" s="11" t="s">
        <v>5623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hidden="1" customHeight="1">
      <c r="A45" s="7" t="s">
        <v>5624</v>
      </c>
      <c r="B45" s="8" t="str">
        <f>'LIBERAÇÕES'!G46</f>
        <v>CUBATAO-SP</v>
      </c>
      <c r="C45" s="7" t="s">
        <v>5625</v>
      </c>
      <c r="D45" s="12" t="str">
        <f>'LIBERAÇÕES'!M46</f>
        <v>CONLINE</v>
      </c>
      <c r="E45" s="13" t="s">
        <v>5626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hidden="1" customHeight="1">
      <c r="A46" s="15" t="s">
        <v>5627</v>
      </c>
      <c r="B46" s="12" t="str">
        <f>'LIBERAÇÕES'!C46</f>
        <v>COFCO</v>
      </c>
      <c r="C46" s="15" t="s">
        <v>5628</v>
      </c>
      <c r="D46" s="123">
        <f>'LIBERAÇÕES'!I46</f>
        <v>4545</v>
      </c>
      <c r="E46" s="17" t="str">
        <f>'LIBERAÇÕES'!N46</f>
        <v>FARDÃO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hidden="1" customHeight="1">
      <c r="A47" s="15" t="s">
        <v>5629</v>
      </c>
      <c r="B47" s="18" t="str">
        <f>'LIBERAÇÕES'!J46</f>
        <v>WH-S07433-B-HCMC-FEV-01 </v>
      </c>
      <c r="C47" s="19" t="s">
        <v>5630</v>
      </c>
      <c r="D47" s="16">
        <f>SUM(E50:E58)</f>
        <v>1264</v>
      </c>
      <c r="E47" s="13" t="s">
        <v>5631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hidden="1" customHeight="1">
      <c r="A48" s="15" t="s">
        <v>5632</v>
      </c>
      <c r="B48" s="20">
        <f>'LIBERAÇÕES'!K46</f>
        <v>46087</v>
      </c>
      <c r="C48" s="21" t="s">
        <v>5633</v>
      </c>
      <c r="D48" s="22">
        <f>D46-D47</f>
        <v>3281</v>
      </c>
      <c r="E48" s="17">
        <f>'LIBERAÇÕES'!H46</f>
        <v>841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hidden="1" customHeight="1">
      <c r="A49" s="23" t="s">
        <v>1</v>
      </c>
      <c r="B49" s="23" t="s">
        <v>5634</v>
      </c>
      <c r="C49" s="23" t="s">
        <v>5635</v>
      </c>
      <c r="D49" s="23" t="s">
        <v>5636</v>
      </c>
      <c r="E49" s="24" t="s">
        <v>5637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hidden="1" customHeight="1">
      <c r="A50" s="25" t="s">
        <v>37</v>
      </c>
      <c r="B50" s="124" t="s">
        <v>5841</v>
      </c>
      <c r="C50" s="25" t="s">
        <v>6</v>
      </c>
      <c r="D50" s="125">
        <v>615.0</v>
      </c>
      <c r="E50" s="124">
        <v>151.0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hidden="1" customHeight="1">
      <c r="A51" s="25" t="s">
        <v>37</v>
      </c>
      <c r="B51" s="124" t="s">
        <v>5842</v>
      </c>
      <c r="C51" s="25" t="s">
        <v>22</v>
      </c>
      <c r="D51" s="125">
        <v>610.0</v>
      </c>
      <c r="E51" s="124">
        <v>152.0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hidden="1" customHeight="1">
      <c r="A52" s="25" t="s">
        <v>37</v>
      </c>
      <c r="B52" s="124" t="s">
        <v>5843</v>
      </c>
      <c r="C52" s="25" t="s">
        <v>26</v>
      </c>
      <c r="D52" s="125">
        <v>620.0</v>
      </c>
      <c r="E52" s="124">
        <v>178.0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hidden="1" customHeight="1">
      <c r="A53" s="25" t="s">
        <v>37</v>
      </c>
      <c r="B53" s="124" t="s">
        <v>5844</v>
      </c>
      <c r="C53" s="25" t="s">
        <v>26</v>
      </c>
      <c r="D53" s="125">
        <v>620.0</v>
      </c>
      <c r="E53" s="124">
        <v>145.0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hidden="1" customHeight="1">
      <c r="A54" s="25" t="s">
        <v>37</v>
      </c>
      <c r="B54" s="124" t="s">
        <v>5845</v>
      </c>
      <c r="C54" s="25" t="s">
        <v>26</v>
      </c>
      <c r="D54" s="125">
        <v>620.0</v>
      </c>
      <c r="E54" s="124">
        <v>158.0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hidden="1" customHeight="1">
      <c r="A55" s="25" t="s">
        <v>37</v>
      </c>
      <c r="B55" s="124" t="s">
        <v>5846</v>
      </c>
      <c r="C55" s="25" t="s">
        <v>26</v>
      </c>
      <c r="D55" s="125">
        <v>620.0</v>
      </c>
      <c r="E55" s="124">
        <v>145.0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hidden="1" customHeight="1">
      <c r="A56" s="25" t="s">
        <v>37</v>
      </c>
      <c r="B56" s="124" t="s">
        <v>5847</v>
      </c>
      <c r="C56" s="25" t="s">
        <v>26</v>
      </c>
      <c r="D56" s="125">
        <v>610.0</v>
      </c>
      <c r="E56" s="124">
        <v>170.0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hidden="1" customHeight="1">
      <c r="A57" s="25" t="s">
        <v>37</v>
      </c>
      <c r="B57" s="124" t="s">
        <v>5848</v>
      </c>
      <c r="C57" s="25" t="s">
        <v>22</v>
      </c>
      <c r="D57" s="125">
        <v>620.0</v>
      </c>
      <c r="E57" s="124">
        <v>165.0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hidden="1" customHeight="1">
      <c r="A58" s="25"/>
      <c r="B58" s="36"/>
      <c r="C58" s="34"/>
      <c r="D58" s="125"/>
      <c r="E58" s="12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hidden="1" customHeight="1">
      <c r="A59" s="126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8"/>
      <c r="X59" s="5"/>
      <c r="Y59" s="5"/>
      <c r="Z59" s="5"/>
    </row>
    <row r="60" ht="14.25" hidden="1" customHeight="1">
      <c r="A60" s="7" t="s">
        <v>5621</v>
      </c>
      <c r="B60" s="8" t="str">
        <f>'LIBERAÇÕES'!E47</f>
        <v>IPIRANGA DO NORTE-MT</v>
      </c>
      <c r="C60" s="7" t="s">
        <v>5622</v>
      </c>
      <c r="D60" s="12" t="str">
        <f>'LIBERAÇÕES'!F47</f>
        <v> ALG DAGHETTI COTTON </v>
      </c>
      <c r="E60" s="10">
        <f>'LIBERAÇÕES'!L47</f>
        <v>-55</v>
      </c>
      <c r="F60" s="11" t="s">
        <v>5623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hidden="1" customHeight="1">
      <c r="A61" s="7" t="s">
        <v>5624</v>
      </c>
      <c r="B61" s="8" t="str">
        <f>'LIBERAÇÕES'!G47</f>
        <v>CUBATAO-SP</v>
      </c>
      <c r="C61" s="7" t="s">
        <v>5625</v>
      </c>
      <c r="D61" s="12" t="str">
        <f>'LIBERAÇÕES'!M47</f>
        <v>ISIS</v>
      </c>
      <c r="E61" s="13" t="s">
        <v>5626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hidden="1" customHeight="1">
      <c r="A62" s="15" t="s">
        <v>5627</v>
      </c>
      <c r="B62" s="12" t="str">
        <f>'LIBERAÇÕES'!C47</f>
        <v>COFCO</v>
      </c>
      <c r="C62" s="15" t="s">
        <v>5628</v>
      </c>
      <c r="D62" s="123">
        <f>'LIBERAÇÕES'!I47</f>
        <v>111</v>
      </c>
      <c r="E62" s="17" t="str">
        <f>'LIBERAÇÕES'!N47</f>
        <v>FARDINHO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hidden="1" customHeight="1">
      <c r="A63" s="15" t="s">
        <v>5629</v>
      </c>
      <c r="B63" s="18" t="str">
        <f>'LIBERAÇÕES'!J47</f>
        <v>S07469-MÃE-JAN-01 </v>
      </c>
      <c r="C63" s="19" t="s">
        <v>5630</v>
      </c>
      <c r="D63" s="123">
        <v>0.0</v>
      </c>
      <c r="E63" s="13" t="s">
        <v>5631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hidden="1" customHeight="1">
      <c r="A64" s="15" t="s">
        <v>5632</v>
      </c>
      <c r="B64" s="20">
        <f>'LIBERAÇÕES'!K47</f>
        <v>46087</v>
      </c>
      <c r="C64" s="21" t="s">
        <v>5633</v>
      </c>
      <c r="D64" s="22">
        <f>D62-D63</f>
        <v>111</v>
      </c>
      <c r="E64" s="17">
        <f>'LIBERAÇÕES'!H47</f>
        <v>830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hidden="1" customHeight="1">
      <c r="A65" s="23" t="s">
        <v>1</v>
      </c>
      <c r="B65" s="23" t="s">
        <v>5634</v>
      </c>
      <c r="C65" s="23" t="s">
        <v>5635</v>
      </c>
      <c r="D65" s="23" t="s">
        <v>5636</v>
      </c>
      <c r="E65" s="24" t="s">
        <v>5637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hidden="1" customHeight="1">
      <c r="A66" s="25"/>
      <c r="B66" s="124"/>
      <c r="C66" s="25"/>
      <c r="D66" s="125"/>
      <c r="E66" s="1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hidden="1" customHeight="1">
      <c r="A67" s="25"/>
      <c r="B67" s="124"/>
      <c r="C67" s="25"/>
      <c r="D67" s="125"/>
      <c r="E67" s="1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hidden="1" customHeight="1">
      <c r="A68" s="25"/>
      <c r="B68" s="124"/>
      <c r="C68" s="25"/>
      <c r="D68" s="125"/>
      <c r="E68" s="12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hidden="1" customHeight="1">
      <c r="A69" s="126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8"/>
      <c r="X69" s="5"/>
      <c r="Y69" s="5"/>
      <c r="Z69" s="5"/>
    </row>
    <row r="70" ht="14.25" hidden="1" customHeight="1">
      <c r="A70" s="7" t="s">
        <v>5621</v>
      </c>
      <c r="B70" s="8" t="str">
        <f>'LIBERAÇÕES'!E15</f>
        <v>IPIRANGA DO NORTE-MT</v>
      </c>
      <c r="C70" s="7" t="s">
        <v>5622</v>
      </c>
      <c r="D70" s="12" t="str">
        <f>'LIBERAÇÕES'!F15</f>
        <v>ALG HORIZONTINA</v>
      </c>
      <c r="E70" s="10">
        <f>'LIBERAÇÕES'!L15</f>
        <v>-52</v>
      </c>
      <c r="F70" s="11" t="s">
        <v>5623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hidden="1" customHeight="1">
      <c r="A71" s="7" t="s">
        <v>5624</v>
      </c>
      <c r="B71" s="8" t="str">
        <f>'LIBERAÇÕES'!G15</f>
        <v>GUARUJA-SP</v>
      </c>
      <c r="C71" s="7" t="s">
        <v>5625</v>
      </c>
      <c r="D71" s="12" t="str">
        <f>'LIBERAÇÕES'!M15</f>
        <v>MOVECITA</v>
      </c>
      <c r="E71" s="13" t="s">
        <v>5626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hidden="1" customHeight="1">
      <c r="A72" s="15" t="s">
        <v>5627</v>
      </c>
      <c r="B72" s="12" t="str">
        <f>'LIBERAÇÕES'!C15</f>
        <v>NUTRADE </v>
      </c>
      <c r="C72" s="15" t="s">
        <v>5628</v>
      </c>
      <c r="D72" s="123">
        <f>'LIBERAÇÕES'!I15</f>
        <v>264</v>
      </c>
      <c r="E72" s="17" t="str">
        <f>'LIBERAÇÕES'!N15</f>
        <v>FARDINHO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hidden="1" customHeight="1">
      <c r="A73" s="15" t="s">
        <v>5629</v>
      </c>
      <c r="B73" s="18" t="str">
        <f>'LIBERAÇÕES'!J15</f>
        <v>25424HK-04A</v>
      </c>
      <c r="C73" s="19" t="s">
        <v>5630</v>
      </c>
      <c r="D73" s="16">
        <f>SUM(E76:E84)</f>
        <v>775</v>
      </c>
      <c r="E73" s="13" t="s">
        <v>5631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hidden="1" customHeight="1">
      <c r="A74" s="15" t="s">
        <v>5632</v>
      </c>
      <c r="B74" s="20">
        <f>'LIBERAÇÕES'!K15</f>
        <v>46090</v>
      </c>
      <c r="C74" s="21" t="s">
        <v>5633</v>
      </c>
      <c r="D74" s="22">
        <f>D72-D73</f>
        <v>-511</v>
      </c>
      <c r="E74" s="17">
        <f>'LIBERAÇÕES'!H15</f>
        <v>650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hidden="1" customHeight="1">
      <c r="A75" s="23" t="s">
        <v>1</v>
      </c>
      <c r="B75" s="23" t="s">
        <v>5634</v>
      </c>
      <c r="C75" s="23" t="s">
        <v>5635</v>
      </c>
      <c r="D75" s="23" t="s">
        <v>5636</v>
      </c>
      <c r="E75" s="24" t="s">
        <v>5637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hidden="1" customHeight="1">
      <c r="A76" s="25"/>
      <c r="B76" s="124"/>
      <c r="C76" s="25"/>
      <c r="D76" s="125"/>
      <c r="E76" s="12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hidden="1" customHeight="1">
      <c r="A77" s="25"/>
      <c r="B77" s="124"/>
      <c r="C77" s="25"/>
      <c r="D77" s="125"/>
      <c r="E77" s="12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hidden="1" customHeight="1">
      <c r="A78" s="25"/>
      <c r="B78" s="124"/>
      <c r="C78" s="25"/>
      <c r="D78" s="125"/>
      <c r="E78" s="12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hidden="1" customHeight="1">
      <c r="A79" s="126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8"/>
      <c r="X79" s="5"/>
      <c r="Y79" s="5"/>
      <c r="Z79" s="5"/>
    </row>
    <row r="80" ht="14.25" hidden="1" customHeight="1">
      <c r="A80" s="7" t="s">
        <v>5621</v>
      </c>
      <c r="B80" s="8" t="str">
        <f>'LIBERAÇÕES'!E47</f>
        <v>IPIRANGA DO NORTE-MT</v>
      </c>
      <c r="C80" s="7" t="s">
        <v>5622</v>
      </c>
      <c r="D80" s="12" t="str">
        <f>'LIBERAÇÕES'!F47</f>
        <v> ALG DAGHETTI COTTON </v>
      </c>
      <c r="E80" s="10">
        <f>'LIBERAÇÕES'!L47</f>
        <v>-55</v>
      </c>
      <c r="F80" s="11" t="s">
        <v>5623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hidden="1" customHeight="1">
      <c r="A81" s="7" t="s">
        <v>5624</v>
      </c>
      <c r="B81" s="8" t="str">
        <f>'LIBERAÇÕES'!G47</f>
        <v>CUBATAO-SP</v>
      </c>
      <c r="C81" s="7" t="s">
        <v>5625</v>
      </c>
      <c r="D81" s="12" t="str">
        <f>'LIBERAÇÕES'!M47</f>
        <v>ISIS</v>
      </c>
      <c r="E81" s="13" t="s">
        <v>5626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hidden="1" customHeight="1">
      <c r="A82" s="15" t="s">
        <v>5627</v>
      </c>
      <c r="B82" s="12" t="str">
        <f>'LIBERAÇÕES'!C47</f>
        <v>COFCO</v>
      </c>
      <c r="C82" s="15" t="s">
        <v>5628</v>
      </c>
      <c r="D82" s="123">
        <f>'LIBERAÇÕES'!I47</f>
        <v>111</v>
      </c>
      <c r="E82" s="17" t="str">
        <f>'LIBERAÇÕES'!N47</f>
        <v>FARDINHO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hidden="1" customHeight="1">
      <c r="A83" s="15" t="s">
        <v>5629</v>
      </c>
      <c r="B83" s="18" t="str">
        <f>'LIBERAÇÕES'!J47</f>
        <v>S07469-MÃE-JAN-01 </v>
      </c>
      <c r="C83" s="19" t="s">
        <v>5630</v>
      </c>
      <c r="D83" s="16">
        <f>SUM(E86:E88)</f>
        <v>111</v>
      </c>
      <c r="E83" s="13" t="s">
        <v>5631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hidden="1" customHeight="1">
      <c r="A84" s="15" t="s">
        <v>5632</v>
      </c>
      <c r="B84" s="20">
        <f>'LIBERAÇÕES'!K47</f>
        <v>46087</v>
      </c>
      <c r="C84" s="21" t="s">
        <v>5633</v>
      </c>
      <c r="D84" s="22">
        <f>D82-D83</f>
        <v>0</v>
      </c>
      <c r="E84" s="17">
        <f>'LIBERAÇÕES'!H47</f>
        <v>830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hidden="1" customHeight="1">
      <c r="A85" s="23" t="s">
        <v>1</v>
      </c>
      <c r="B85" s="23" t="s">
        <v>5634</v>
      </c>
      <c r="C85" s="23" t="s">
        <v>5635</v>
      </c>
      <c r="D85" s="23" t="s">
        <v>5636</v>
      </c>
      <c r="E85" s="24" t="s">
        <v>5637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hidden="1" customHeight="1">
      <c r="A86" s="25" t="s">
        <v>37</v>
      </c>
      <c r="B86" s="124" t="s">
        <v>5849</v>
      </c>
      <c r="C86" s="25" t="s">
        <v>6</v>
      </c>
      <c r="D86" s="125">
        <v>650.0</v>
      </c>
      <c r="E86" s="124">
        <v>111.0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hidden="1" customHeight="1">
      <c r="A87" s="25"/>
      <c r="B87" s="124"/>
      <c r="C87" s="25"/>
      <c r="D87" s="125"/>
      <c r="E87" s="12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hidden="1" customHeight="1">
      <c r="A88" s="25"/>
      <c r="B88" s="124"/>
      <c r="C88" s="25"/>
      <c r="D88" s="125"/>
      <c r="E88" s="12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hidden="1" customHeight="1">
      <c r="A89" s="126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8"/>
      <c r="X89" s="5"/>
      <c r="Y89" s="5"/>
      <c r="Z89" s="5"/>
    </row>
    <row r="90" ht="14.25" hidden="1" customHeight="1">
      <c r="A90" s="7" t="s">
        <v>5621</v>
      </c>
      <c r="B90" s="8" t="str">
        <f>'LIBERAÇÕES'!E63</f>
        <v>SINOP-MT</v>
      </c>
      <c r="C90" s="7" t="s">
        <v>5622</v>
      </c>
      <c r="D90" s="12" t="str">
        <f>'LIBERAÇÕES'!F63</f>
        <v>ALG PRANTE</v>
      </c>
      <c r="E90" s="10">
        <f>'LIBERAÇÕES'!L57</f>
        <v>-41</v>
      </c>
      <c r="F90" s="11" t="s">
        <v>5623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hidden="1" customHeight="1">
      <c r="A91" s="7" t="s">
        <v>5624</v>
      </c>
      <c r="B91" s="8" t="str">
        <f>'LIBERAÇÕES'!G63</f>
        <v>RONDONOPOLIS-MT</v>
      </c>
      <c r="C91" s="7" t="s">
        <v>5625</v>
      </c>
      <c r="D91" s="12" t="str">
        <f>'LIBERAÇÕES'!M63</f>
        <v>EISA</v>
      </c>
      <c r="E91" s="13" t="s">
        <v>5626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hidden="1" customHeight="1">
      <c r="A92" s="15" t="s">
        <v>5627</v>
      </c>
      <c r="B92" s="12" t="str">
        <f>'LIBERAÇÕES'!C63</f>
        <v>NUTRADE </v>
      </c>
      <c r="C92" s="15" t="s">
        <v>5628</v>
      </c>
      <c r="D92" s="123">
        <f>'LIBERAÇÕES'!I63</f>
        <v>220</v>
      </c>
      <c r="E92" s="17" t="str">
        <f>'LIBERAÇÕES'!N57</f>
        <v>FARDÃO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hidden="1" customHeight="1">
      <c r="A93" s="15" t="s">
        <v>5629</v>
      </c>
      <c r="B93" s="18" t="str">
        <f>'LIBERAÇÕES'!J63</f>
        <v>SIRON-EXP-3155257016-057-01A</v>
      </c>
      <c r="C93" s="19" t="s">
        <v>5630</v>
      </c>
      <c r="D93" s="16">
        <f>E96</f>
        <v>220</v>
      </c>
      <c r="E93" s="13" t="s">
        <v>5631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hidden="1" customHeight="1">
      <c r="A94" s="15" t="s">
        <v>5632</v>
      </c>
      <c r="B94" s="20">
        <f>'LIBERAÇÕES'!K63</f>
        <v>46112</v>
      </c>
      <c r="C94" s="21" t="s">
        <v>5633</v>
      </c>
      <c r="D94" s="22">
        <f>D92-D93</f>
        <v>0</v>
      </c>
      <c r="E94" s="17">
        <f>'LIBERAÇÕES'!H63</f>
        <v>290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hidden="1" customHeight="1">
      <c r="A95" s="23" t="s">
        <v>1</v>
      </c>
      <c r="B95" s="23" t="s">
        <v>5634</v>
      </c>
      <c r="C95" s="23" t="s">
        <v>5635</v>
      </c>
      <c r="D95" s="23" t="s">
        <v>5636</v>
      </c>
      <c r="E95" s="24" t="s">
        <v>5637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hidden="1" customHeight="1">
      <c r="A96" s="25" t="s">
        <v>41</v>
      </c>
      <c r="B96" s="124" t="s">
        <v>5850</v>
      </c>
      <c r="C96" s="25" t="s">
        <v>34</v>
      </c>
      <c r="D96" s="125">
        <v>225.0</v>
      </c>
      <c r="E96" s="124">
        <v>220.0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hidden="1" customHeight="1">
      <c r="A97" s="25"/>
      <c r="B97" s="124"/>
      <c r="C97" s="25"/>
      <c r="D97" s="125"/>
      <c r="E97" s="12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hidden="1" customHeight="1">
      <c r="A98" s="25"/>
      <c r="B98" s="124"/>
      <c r="C98" s="25"/>
      <c r="D98" s="125"/>
      <c r="E98" s="12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hidden="1" customHeight="1">
      <c r="A99" s="126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8"/>
      <c r="X99" s="5"/>
      <c r="Y99" s="5"/>
      <c r="Z99" s="5"/>
    </row>
    <row r="100" ht="14.25" hidden="1" customHeight="1">
      <c r="A100" s="7" t="s">
        <v>5621</v>
      </c>
      <c r="B100" s="8" t="str">
        <f>'LIBERAÇÕES'!E56</f>
        <v>MARCELANDIA-MT</v>
      </c>
      <c r="C100" s="7" t="s">
        <v>5622</v>
      </c>
      <c r="D100" s="12" t="str">
        <f>'LIBERAÇÕES'!F56</f>
        <v>ALG FISTAROL</v>
      </c>
      <c r="E100" s="10" t="str">
        <f>'LIBERAÇÕES'!L92</f>
        <v/>
      </c>
      <c r="F100" s="11" t="s">
        <v>5623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hidden="1" customHeight="1">
      <c r="A101" s="7" t="s">
        <v>5624</v>
      </c>
      <c r="B101" s="8" t="str">
        <f>'LIBERAÇÕES'!G56</f>
        <v>RONDONOPOLIS-MT</v>
      </c>
      <c r="C101" s="7" t="s">
        <v>5625</v>
      </c>
      <c r="D101" s="12" t="str">
        <f>'LIBERAÇÕES'!M56</f>
        <v>LDC</v>
      </c>
      <c r="E101" s="13" t="s">
        <v>5626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hidden="1" customHeight="1">
      <c r="A102" s="15" t="s">
        <v>5627</v>
      </c>
      <c r="B102" s="12" t="str">
        <f>'LIBERAÇÕES'!C56</f>
        <v>NUTRADE </v>
      </c>
      <c r="C102" s="15" t="s">
        <v>5628</v>
      </c>
      <c r="D102" s="123">
        <f>'LIBERAÇÕES'!I56</f>
        <v>1260</v>
      </c>
      <c r="E102" s="17" t="str">
        <f>'LIBERAÇÕES'!N92</f>
        <v/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hidden="1" customHeight="1">
      <c r="A103" s="15" t="s">
        <v>5629</v>
      </c>
      <c r="B103" s="18" t="str">
        <f>'LIBERAÇÕES'!J56</f>
        <v>SI RDN-EXP-RDN-25-AL160</v>
      </c>
      <c r="C103" s="19" t="s">
        <v>5630</v>
      </c>
      <c r="D103" s="16">
        <f>SUM(E106:E117)</f>
        <v>1260</v>
      </c>
      <c r="E103" s="13" t="s">
        <v>5631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hidden="1" customHeight="1">
      <c r="A104" s="15" t="s">
        <v>5632</v>
      </c>
      <c r="B104" s="20" t="str">
        <f>'LIBERAÇÕES'!K98</f>
        <v/>
      </c>
      <c r="C104" s="21" t="s">
        <v>5633</v>
      </c>
      <c r="D104" s="22">
        <f>D102-D103</f>
        <v>0</v>
      </c>
      <c r="E104" s="17">
        <f>'LIBERAÇÕES'!H56</f>
        <v>350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hidden="1" customHeight="1">
      <c r="A105" s="23" t="s">
        <v>1</v>
      </c>
      <c r="B105" s="23" t="s">
        <v>5634</v>
      </c>
      <c r="C105" s="23" t="s">
        <v>5635</v>
      </c>
      <c r="D105" s="23" t="s">
        <v>5636</v>
      </c>
      <c r="E105" s="24" t="s">
        <v>5637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hidden="1" customHeight="1">
      <c r="A106" s="25" t="s">
        <v>37</v>
      </c>
      <c r="B106" s="124" t="s">
        <v>5851</v>
      </c>
      <c r="C106" s="25" t="s">
        <v>34</v>
      </c>
      <c r="D106" s="125"/>
      <c r="E106" s="124">
        <v>226.0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hidden="1" customHeight="1">
      <c r="A107" s="25" t="s">
        <v>37</v>
      </c>
      <c r="B107" s="124" t="s">
        <v>5852</v>
      </c>
      <c r="C107" s="25" t="s">
        <v>22</v>
      </c>
      <c r="D107" s="125"/>
      <c r="E107" s="124">
        <v>170.0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hidden="1" customHeight="1">
      <c r="A108" s="25" t="s">
        <v>37</v>
      </c>
      <c r="B108" s="124" t="s">
        <v>5853</v>
      </c>
      <c r="C108" s="25" t="s">
        <v>26</v>
      </c>
      <c r="D108" s="125"/>
      <c r="E108" s="124">
        <v>160.0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hidden="1" customHeight="1">
      <c r="A109" s="25" t="s">
        <v>37</v>
      </c>
      <c r="B109" s="124" t="s">
        <v>5854</v>
      </c>
      <c r="C109" s="25" t="s">
        <v>10</v>
      </c>
      <c r="D109" s="125"/>
      <c r="E109" s="124">
        <v>161.0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hidden="1" customHeight="1">
      <c r="A110" s="25" t="s">
        <v>37</v>
      </c>
      <c r="B110" s="124" t="s">
        <v>5855</v>
      </c>
      <c r="C110" s="25" t="s">
        <v>26</v>
      </c>
      <c r="D110" s="125"/>
      <c r="E110" s="124">
        <v>152.0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hidden="1" customHeight="1">
      <c r="A111" s="25" t="s">
        <v>37</v>
      </c>
      <c r="B111" s="124" t="s">
        <v>5856</v>
      </c>
      <c r="C111" s="25" t="s">
        <v>34</v>
      </c>
      <c r="D111" s="125"/>
      <c r="E111" s="124">
        <v>216.0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hidden="1" customHeight="1">
      <c r="A112" s="25" t="s">
        <v>37</v>
      </c>
      <c r="B112" s="124"/>
      <c r="C112" s="25" t="s">
        <v>34</v>
      </c>
      <c r="D112" s="125"/>
      <c r="E112" s="124">
        <v>175.0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hidden="1" customHeight="1">
      <c r="A113" s="25"/>
      <c r="B113" s="124"/>
      <c r="C113" s="25"/>
      <c r="D113" s="125"/>
      <c r="E113" s="12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hidden="1" customHeight="1">
      <c r="A114" s="25"/>
      <c r="B114" s="124"/>
      <c r="C114" s="25"/>
      <c r="D114" s="125"/>
      <c r="E114" s="12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hidden="1" customHeight="1">
      <c r="A115" s="25"/>
      <c r="B115" s="124"/>
      <c r="C115" s="25"/>
      <c r="D115" s="125"/>
      <c r="E115" s="12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hidden="1" customHeight="1">
      <c r="A116" s="25"/>
      <c r="B116" s="124"/>
      <c r="C116" s="25"/>
      <c r="D116" s="125"/>
      <c r="E116" s="12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hidden="1" customHeight="1">
      <c r="A117" s="25"/>
      <c r="B117" s="124"/>
      <c r="C117" s="25"/>
      <c r="D117" s="125"/>
      <c r="E117" s="12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hidden="1" customHeight="1">
      <c r="A118" s="126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8"/>
      <c r="X118" s="5"/>
      <c r="Y118" s="5"/>
      <c r="Z118" s="5"/>
    </row>
    <row r="119" ht="14.25" hidden="1" customHeight="1">
      <c r="A119" s="7" t="s">
        <v>5621</v>
      </c>
      <c r="B119" s="8" t="str">
        <f>'LIBERAÇÕES'!E68</f>
        <v>IPIRANGA DO NORTE-MT</v>
      </c>
      <c r="C119" s="7" t="s">
        <v>5622</v>
      </c>
      <c r="D119" s="12" t="str">
        <f>'LIBERAÇÕES'!F68</f>
        <v>ALG DAGHETTI COTTON</v>
      </c>
      <c r="E119" s="10" t="str">
        <f>'LIBERAÇÕES'!L111</f>
        <v/>
      </c>
      <c r="F119" s="11" t="s">
        <v>5623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hidden="1" customHeight="1">
      <c r="A120" s="7" t="s">
        <v>5624</v>
      </c>
      <c r="B120" s="8" t="str">
        <f>'LIBERAÇÕES'!M68</f>
        <v>TBM LOG</v>
      </c>
      <c r="C120" s="7" t="s">
        <v>5625</v>
      </c>
      <c r="D120" s="12" t="str">
        <f>'LIBERAÇÕES'!M69</f>
        <v>TBM LOG</v>
      </c>
      <c r="E120" s="13" t="s">
        <v>5626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hidden="1" customHeight="1">
      <c r="A121" s="15" t="s">
        <v>5627</v>
      </c>
      <c r="B121" s="12" t="str">
        <f>'LIBERAÇÕES'!C68</f>
        <v>COFCO</v>
      </c>
      <c r="C121" s="15" t="s">
        <v>5628</v>
      </c>
      <c r="D121" s="123">
        <f>'LIBERAÇÕES'!I68</f>
        <v>194</v>
      </c>
      <c r="E121" s="17" t="str">
        <f>'LIBERAÇÕES'!N111</f>
        <v/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hidden="1" customHeight="1">
      <c r="A122" s="15" t="s">
        <v>5629</v>
      </c>
      <c r="B122" s="18" t="str">
        <f>'LIBERAÇÕES'!J68</f>
        <v>WH-TBM-MAR26-05 </v>
      </c>
      <c r="C122" s="19" t="s">
        <v>5630</v>
      </c>
      <c r="D122" s="16">
        <f>SUM(E125)</f>
        <v>194</v>
      </c>
      <c r="E122" s="13" t="s">
        <v>5631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hidden="1" customHeight="1">
      <c r="A123" s="15" t="s">
        <v>5632</v>
      </c>
      <c r="B123" s="20" t="str">
        <f>'LIBERAÇÕES'!K117</f>
        <v/>
      </c>
      <c r="C123" s="21" t="s">
        <v>5633</v>
      </c>
      <c r="D123" s="22">
        <f>D121-D122</f>
        <v>0</v>
      </c>
      <c r="E123" s="17" t="str">
        <f>'LIBERAÇÕES'!H90</f>
        <v/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hidden="1" customHeight="1">
      <c r="A124" s="23" t="s">
        <v>1</v>
      </c>
      <c r="B124" s="23" t="s">
        <v>5634</v>
      </c>
      <c r="C124" s="23" t="s">
        <v>5635</v>
      </c>
      <c r="D124" s="23" t="s">
        <v>5636</v>
      </c>
      <c r="E124" s="24" t="s">
        <v>5637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hidden="1" customHeight="1">
      <c r="A125" s="25" t="s">
        <v>41</v>
      </c>
      <c r="B125" s="124" t="s">
        <v>5857</v>
      </c>
      <c r="C125" s="25" t="s">
        <v>34</v>
      </c>
      <c r="D125" s="125"/>
      <c r="E125" s="124">
        <v>194.0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hidden="1" customHeight="1">
      <c r="A126" s="126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8"/>
      <c r="X126" s="5"/>
      <c r="Y126" s="5"/>
      <c r="Z126" s="5"/>
    </row>
    <row r="127" ht="14.25" hidden="1" customHeight="1">
      <c r="A127" s="7" t="s">
        <v>5621</v>
      </c>
      <c r="B127" s="8" t="str">
        <f>'LIBERAÇÕES'!E74</f>
        <v>IPIRANGA DO NORTE-MT</v>
      </c>
      <c r="C127" s="7" t="s">
        <v>5622</v>
      </c>
      <c r="D127" s="12" t="str">
        <f>'LIBERAÇÕES'!F74</f>
        <v>ALG IPIRANGA</v>
      </c>
      <c r="E127" s="10" t="str">
        <f>'LIBERAÇÕES'!L119</f>
        <v/>
      </c>
      <c r="F127" s="11" t="s">
        <v>5623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hidden="1" customHeight="1">
      <c r="A128" s="7" t="s">
        <v>5624</v>
      </c>
      <c r="B128" s="8" t="str">
        <f>'LIBERAÇÕES'!G74</f>
        <v>SANTOS-SP</v>
      </c>
      <c r="C128" s="7" t="s">
        <v>5625</v>
      </c>
      <c r="D128" s="12" t="str">
        <f>'LIBERAÇÕES'!M74</f>
        <v>SMAGALHÃES</v>
      </c>
      <c r="E128" s="13" t="s">
        <v>5626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hidden="1" customHeight="1">
      <c r="A129" s="15" t="s">
        <v>5627</v>
      </c>
      <c r="B129" s="12" t="str">
        <f>'LIBERAÇÕES'!C74</f>
        <v>BOA ESPERANÇA</v>
      </c>
      <c r="C129" s="15" t="s">
        <v>5628</v>
      </c>
      <c r="D129" s="123">
        <f>'LIBERAÇÕES'!I74</f>
        <v>420</v>
      </c>
      <c r="E129" s="17" t="str">
        <f>'LIBERAÇÕES'!N119</f>
        <v/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hidden="1" customHeight="1">
      <c r="A130" s="15" t="s">
        <v>5629</v>
      </c>
      <c r="B130" s="18" t="str">
        <f>'LIBERAÇÕES'!J74</f>
        <v>EBKG16354766</v>
      </c>
      <c r="C130" s="19" t="s">
        <v>5630</v>
      </c>
      <c r="D130" s="16">
        <f>E133+E134</f>
        <v>420</v>
      </c>
      <c r="E130" s="13" t="s">
        <v>5631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hidden="1" customHeight="1">
      <c r="A131" s="15" t="s">
        <v>5632</v>
      </c>
      <c r="B131" s="20">
        <f>'LIBERAÇÕES'!K74</f>
        <v>46128</v>
      </c>
      <c r="C131" s="21" t="s">
        <v>5633</v>
      </c>
      <c r="D131" s="22">
        <f>D129-D130</f>
        <v>0</v>
      </c>
      <c r="E131" s="17" t="str">
        <f>'LIBERAÇÕES'!H98</f>
        <v/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hidden="1" customHeight="1">
      <c r="A132" s="23" t="s">
        <v>1</v>
      </c>
      <c r="B132" s="23" t="s">
        <v>5634</v>
      </c>
      <c r="C132" s="23" t="s">
        <v>5635</v>
      </c>
      <c r="D132" s="23" t="s">
        <v>5636</v>
      </c>
      <c r="E132" s="24" t="s">
        <v>5637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hidden="1" customHeight="1">
      <c r="A133" s="25" t="s">
        <v>37</v>
      </c>
      <c r="B133" s="124" t="s">
        <v>5858</v>
      </c>
      <c r="C133" s="25"/>
      <c r="D133" s="125"/>
      <c r="E133" s="124">
        <v>210.0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hidden="1" customHeight="1">
      <c r="A134" s="25" t="s">
        <v>37</v>
      </c>
      <c r="B134" s="124" t="s">
        <v>5859</v>
      </c>
      <c r="C134" s="25"/>
      <c r="D134" s="125"/>
      <c r="E134" s="124">
        <v>210.0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hidden="1" customHeight="1">
      <c r="A135" s="25"/>
      <c r="B135" s="124"/>
      <c r="C135" s="25"/>
      <c r="D135" s="125"/>
      <c r="E135" s="12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hidden="1" customHeight="1">
      <c r="A136" s="25"/>
      <c r="B136" s="124"/>
      <c r="C136" s="25"/>
      <c r="D136" s="125"/>
      <c r="E136" s="12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hidden="1" customHeight="1">
      <c r="A137" s="126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8"/>
      <c r="X137" s="5"/>
      <c r="Y137" s="5"/>
      <c r="Z137" s="5"/>
    </row>
    <row r="138" ht="14.25" hidden="1" customHeight="1">
      <c r="A138" s="7" t="s">
        <v>5621</v>
      </c>
      <c r="B138" s="8" t="str">
        <f>'LIBERAÇÕES'!E75</f>
        <v>PORTO DOS GAUCHOS-MT</v>
      </c>
      <c r="C138" s="7" t="s">
        <v>5622</v>
      </c>
      <c r="D138" s="12" t="str">
        <f>'LIBERAÇÕES'!F75</f>
        <v>ALG AGROVERA</v>
      </c>
      <c r="E138" s="10" t="str">
        <f>'LIBERAÇÕES'!L129</f>
        <v/>
      </c>
      <c r="F138" s="11" t="s">
        <v>5623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hidden="1" customHeight="1">
      <c r="A139" s="7" t="s">
        <v>5624</v>
      </c>
      <c r="B139" s="8" t="str">
        <f>'LIBERAÇÕES'!G75</f>
        <v>SANTOS-SP</v>
      </c>
      <c r="C139" s="7" t="s">
        <v>5625</v>
      </c>
      <c r="D139" s="12" t="str">
        <f>'LIBERAÇÕES'!M74</f>
        <v>SMAGALHÃES</v>
      </c>
      <c r="E139" s="13" t="s">
        <v>5626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hidden="1" customHeight="1">
      <c r="A140" s="15" t="s">
        <v>5627</v>
      </c>
      <c r="B140" s="12" t="str">
        <f>'LIBERAÇÕES'!C75</f>
        <v>BOA ESPERANÇA</v>
      </c>
      <c r="C140" s="15" t="s">
        <v>5628</v>
      </c>
      <c r="D140" s="123">
        <f>'LIBERAÇÕES'!I75</f>
        <v>140</v>
      </c>
      <c r="E140" s="17" t="str">
        <f>'LIBERAÇÕES'!N129</f>
        <v/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hidden="1" customHeight="1">
      <c r="A141" s="15" t="s">
        <v>5629</v>
      </c>
      <c r="B141" s="18" t="str">
        <f>'LIBERAÇÕES'!J75</f>
        <v>EBKG16354766</v>
      </c>
      <c r="C141" s="19" t="s">
        <v>5630</v>
      </c>
      <c r="D141" s="16">
        <f>SUM(E144)</f>
        <v>140</v>
      </c>
      <c r="E141" s="13" t="s">
        <v>5631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hidden="1" customHeight="1">
      <c r="A142" s="15" t="s">
        <v>5632</v>
      </c>
      <c r="B142" s="20">
        <f>'LIBERAÇÕES'!K75</f>
        <v>46128</v>
      </c>
      <c r="C142" s="21" t="s">
        <v>5633</v>
      </c>
      <c r="D142" s="22">
        <f>D140-D141</f>
        <v>0</v>
      </c>
      <c r="E142" s="17" t="str">
        <f>'LIBERAÇÕES'!H108</f>
        <v/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hidden="1" customHeight="1">
      <c r="A143" s="23" t="s">
        <v>1</v>
      </c>
      <c r="B143" s="23" t="s">
        <v>5634</v>
      </c>
      <c r="C143" s="23" t="s">
        <v>5635</v>
      </c>
      <c r="D143" s="23" t="s">
        <v>5636</v>
      </c>
      <c r="E143" s="24" t="s">
        <v>5637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hidden="1" customHeight="1">
      <c r="A144" s="25" t="s">
        <v>37</v>
      </c>
      <c r="B144" s="129" t="s">
        <v>5860</v>
      </c>
      <c r="C144" s="25" t="s">
        <v>6</v>
      </c>
      <c r="D144" s="125">
        <v>630.0</v>
      </c>
      <c r="E144" s="124">
        <v>140.0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hidden="1" customHeight="1">
      <c r="A145" s="126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8"/>
      <c r="X145" s="5"/>
      <c r="Y145" s="5"/>
      <c r="Z145" s="5"/>
    </row>
    <row r="146" ht="14.25" hidden="1" customHeight="1">
      <c r="A146" s="7" t="s">
        <v>5621</v>
      </c>
      <c r="B146" s="8" t="str">
        <f>'LIBERAÇÕES'!E76</f>
        <v>UNIAO DO SUL-MT</v>
      </c>
      <c r="C146" s="7" t="s">
        <v>5622</v>
      </c>
      <c r="D146" s="12" t="str">
        <f>'LIBERAÇÕES'!F76</f>
        <v>ALG SANTA TEREZA</v>
      </c>
      <c r="E146" s="10" t="str">
        <f>'LIBERAÇÕES'!L137</f>
        <v/>
      </c>
      <c r="F146" s="11" t="s">
        <v>5623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hidden="1" customHeight="1">
      <c r="A147" s="7" t="s">
        <v>5624</v>
      </c>
      <c r="B147" s="8" t="str">
        <f>'LIBERAÇÕES'!G76</f>
        <v>RONDONOPOLIS-MT</v>
      </c>
      <c r="C147" s="7" t="s">
        <v>5625</v>
      </c>
      <c r="D147" s="12" t="str">
        <f>'LIBERAÇÕES'!M76</f>
        <v>BRADO</v>
      </c>
      <c r="E147" s="13" t="s">
        <v>5626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hidden="1" customHeight="1">
      <c r="A148" s="15" t="s">
        <v>5627</v>
      </c>
      <c r="B148" s="12" t="str">
        <f>'LIBERAÇÕES'!C76</f>
        <v>SCHEFFER</v>
      </c>
      <c r="C148" s="15" t="s">
        <v>5628</v>
      </c>
      <c r="D148" s="123">
        <f>'LIBERAÇÕES'!I76</f>
        <v>440</v>
      </c>
      <c r="E148" s="17" t="str">
        <f>'LIBERAÇÕES'!N137</f>
        <v/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hidden="1" customHeight="1">
      <c r="A149" s="15" t="s">
        <v>5629</v>
      </c>
      <c r="B149" s="18" t="str">
        <f>'LIBERAÇÕES'!J76</f>
        <v>S51590.A01</v>
      </c>
      <c r="C149" s="19" t="s">
        <v>5630</v>
      </c>
      <c r="D149" s="16">
        <f>E152+E153</f>
        <v>440</v>
      </c>
      <c r="E149" s="13" t="s">
        <v>5631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hidden="1" customHeight="1">
      <c r="A150" s="15" t="s">
        <v>5632</v>
      </c>
      <c r="B150" s="20">
        <f>'LIBERAÇÕES'!K76</f>
        <v>46129</v>
      </c>
      <c r="C150" s="21" t="s">
        <v>5633</v>
      </c>
      <c r="D150" s="22">
        <f>D148-D149</f>
        <v>0</v>
      </c>
      <c r="E150" s="17">
        <f>'LIBERAÇÕES'!H76</f>
        <v>300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hidden="1" customHeight="1">
      <c r="A151" s="23" t="s">
        <v>1</v>
      </c>
      <c r="B151" s="23" t="s">
        <v>5634</v>
      </c>
      <c r="C151" s="23" t="s">
        <v>5635</v>
      </c>
      <c r="D151" s="23" t="s">
        <v>5636</v>
      </c>
      <c r="E151" s="24" t="s">
        <v>5637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hidden="1" customHeight="1">
      <c r="A152" s="25" t="s">
        <v>37</v>
      </c>
      <c r="B152" s="129" t="s">
        <v>5861</v>
      </c>
      <c r="C152" s="25" t="s">
        <v>34</v>
      </c>
      <c r="D152" s="125">
        <v>260.0</v>
      </c>
      <c r="E152" s="124">
        <v>220.0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hidden="1" customHeight="1">
      <c r="A153" s="25" t="s">
        <v>37</v>
      </c>
      <c r="B153" s="129" t="s">
        <v>5862</v>
      </c>
      <c r="C153" s="25" t="s">
        <v>34</v>
      </c>
      <c r="D153" s="125">
        <v>260.0</v>
      </c>
      <c r="E153" s="124">
        <v>220.0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26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8"/>
      <c r="X154" s="5"/>
      <c r="Y154" s="5"/>
      <c r="Z154" s="5"/>
    </row>
    <row r="155" ht="14.25" hidden="1" customHeight="1">
      <c r="A155" s="7" t="s">
        <v>5621</v>
      </c>
      <c r="B155" s="8" t="str">
        <f>'LIBERAÇÕES'!E81</f>
        <v>IPIRANGA DO NORTE-MT</v>
      </c>
      <c r="C155" s="7" t="s">
        <v>5622</v>
      </c>
      <c r="D155" s="12" t="str">
        <f>'LIBERAÇÕES'!F81</f>
        <v>ALG IPIRANGA</v>
      </c>
      <c r="E155" s="10" t="str">
        <f>'LIBERAÇÕES'!L148</f>
        <v/>
      </c>
      <c r="F155" s="11" t="s">
        <v>5623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hidden="1" customHeight="1">
      <c r="A156" s="7" t="s">
        <v>5624</v>
      </c>
      <c r="B156" s="8" t="str">
        <f>'LIBERAÇÕES'!G81</f>
        <v>CUBATAO-SP</v>
      </c>
      <c r="C156" s="7" t="s">
        <v>5625</v>
      </c>
      <c r="D156" s="12" t="str">
        <f>'LIBERAÇÕES'!M81</f>
        <v>DEPOTCE</v>
      </c>
      <c r="E156" s="13" t="s">
        <v>5626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hidden="1" customHeight="1">
      <c r="A157" s="15" t="s">
        <v>5627</v>
      </c>
      <c r="B157" s="12" t="str">
        <f>'LIBERAÇÕES'!C81</f>
        <v>BOA ESPERANÇA</v>
      </c>
      <c r="C157" s="15" t="s">
        <v>5628</v>
      </c>
      <c r="D157" s="123">
        <f>'LIBERAÇÕES'!I81</f>
        <v>270</v>
      </c>
      <c r="E157" s="17" t="str">
        <f>'LIBERAÇÕES'!N148</f>
        <v/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hidden="1" customHeight="1">
      <c r="A158" s="15" t="s">
        <v>5629</v>
      </c>
      <c r="B158" s="18" t="str">
        <f>'LIBERAÇÕES'!J81</f>
        <v>S51626.A03</v>
      </c>
      <c r="C158" s="19" t="s">
        <v>5630</v>
      </c>
      <c r="D158" s="16">
        <f>E161+E162</f>
        <v>270</v>
      </c>
      <c r="E158" s="13" t="s">
        <v>5631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hidden="1" customHeight="1">
      <c r="A159" s="15" t="s">
        <v>5632</v>
      </c>
      <c r="B159" s="20">
        <f>'LIBERAÇÕES'!K81</f>
        <v>46137</v>
      </c>
      <c r="C159" s="21" t="s">
        <v>5633</v>
      </c>
      <c r="D159" s="22">
        <f>D157-D158</f>
        <v>0</v>
      </c>
      <c r="E159" s="17">
        <f>'LIBERAÇÕES'!H81</f>
        <v>700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hidden="1" customHeight="1">
      <c r="A160" s="23" t="s">
        <v>1</v>
      </c>
      <c r="B160" s="23" t="s">
        <v>5634</v>
      </c>
      <c r="C160" s="23" t="s">
        <v>5635</v>
      </c>
      <c r="D160" s="23" t="s">
        <v>5636</v>
      </c>
      <c r="E160" s="24" t="s">
        <v>5637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hidden="1" customHeight="1">
      <c r="A161" s="25" t="s">
        <v>37</v>
      </c>
      <c r="B161" s="129" t="s">
        <v>5863</v>
      </c>
      <c r="C161" s="25" t="s">
        <v>10</v>
      </c>
      <c r="D161" s="125"/>
      <c r="E161" s="124">
        <v>120.0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hidden="1" customHeight="1">
      <c r="A162" s="25" t="s">
        <v>37</v>
      </c>
      <c r="B162" s="129" t="s">
        <v>5864</v>
      </c>
      <c r="C162" s="25" t="s">
        <v>10</v>
      </c>
      <c r="D162" s="125"/>
      <c r="E162" s="124">
        <v>150.0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hidden="1" customHeight="1">
      <c r="A163" s="25"/>
      <c r="B163" s="129"/>
      <c r="C163" s="25"/>
      <c r="D163" s="125"/>
      <c r="E163" s="12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hidden="1" customHeight="1">
      <c r="A164" s="25"/>
      <c r="B164" s="129"/>
      <c r="C164" s="25"/>
      <c r="D164" s="125"/>
      <c r="E164" s="12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hidden="1" customHeight="1">
      <c r="A165" s="126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8"/>
      <c r="X165" s="5"/>
      <c r="Y165" s="5"/>
      <c r="Z165" s="5"/>
    </row>
    <row r="166" ht="14.25" hidden="1" customHeight="1">
      <c r="A166" s="7" t="s">
        <v>5621</v>
      </c>
      <c r="B166" s="8" t="str">
        <f>'LIBERAÇÕES'!E82</f>
        <v>PORTO DOS GAUCHOS-MT</v>
      </c>
      <c r="C166" s="7" t="s">
        <v>5622</v>
      </c>
      <c r="D166" s="12" t="str">
        <f>'LIBERAÇÕES'!F82</f>
        <v>ALG AGROVERA</v>
      </c>
      <c r="E166" s="10" t="str">
        <f>'LIBERAÇÕES'!L159</f>
        <v/>
      </c>
      <c r="F166" s="11" t="s">
        <v>5623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hidden="1" customHeight="1">
      <c r="A167" s="7" t="s">
        <v>5624</v>
      </c>
      <c r="B167" s="8" t="str">
        <f>'LIBERAÇÕES'!G82</f>
        <v>CUBATAO-SP</v>
      </c>
      <c r="C167" s="7" t="s">
        <v>5625</v>
      </c>
      <c r="D167" s="12" t="str">
        <f>'LIBERAÇÕES'!M82</f>
        <v>DEPOTCE</v>
      </c>
      <c r="E167" s="13" t="s">
        <v>5626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hidden="1" customHeight="1">
      <c r="A168" s="15" t="s">
        <v>5627</v>
      </c>
      <c r="B168" s="12" t="str">
        <f>'LIBERAÇÕES'!C82</f>
        <v>BOA ESPERANÇA</v>
      </c>
      <c r="C168" s="15" t="s">
        <v>5628</v>
      </c>
      <c r="D168" s="123">
        <f>'LIBERAÇÕES'!I82</f>
        <v>248</v>
      </c>
      <c r="E168" s="17" t="str">
        <f>'LIBERAÇÕES'!N159</f>
        <v/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hidden="1" customHeight="1">
      <c r="A169" s="15" t="s">
        <v>5629</v>
      </c>
      <c r="B169" s="18" t="str">
        <f>'LIBERAÇÕES'!J82</f>
        <v>S51626.A03</v>
      </c>
      <c r="C169" s="19" t="s">
        <v>5630</v>
      </c>
      <c r="D169" s="16">
        <f>E172+E173</f>
        <v>248</v>
      </c>
      <c r="E169" s="13" t="s">
        <v>5631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hidden="1" customHeight="1">
      <c r="A170" s="15" t="s">
        <v>5632</v>
      </c>
      <c r="B170" s="20">
        <f>'LIBERAÇÕES'!K82</f>
        <v>46137</v>
      </c>
      <c r="C170" s="21" t="s">
        <v>5633</v>
      </c>
      <c r="D170" s="22">
        <f>D168-D169</f>
        <v>0</v>
      </c>
      <c r="E170" s="17">
        <f>'LIBERAÇÕES'!H82</f>
        <v>725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hidden="1" customHeight="1">
      <c r="A171" s="23" t="s">
        <v>1</v>
      </c>
      <c r="B171" s="23" t="s">
        <v>5634</v>
      </c>
      <c r="C171" s="23" t="s">
        <v>5635</v>
      </c>
      <c r="D171" s="23" t="s">
        <v>5636</v>
      </c>
      <c r="E171" s="24" t="s">
        <v>5637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hidden="1" customHeight="1">
      <c r="A172" s="25" t="s">
        <v>37</v>
      </c>
      <c r="B172" s="129" t="s">
        <v>5863</v>
      </c>
      <c r="C172" s="25" t="s">
        <v>10</v>
      </c>
      <c r="D172" s="125"/>
      <c r="E172" s="124">
        <v>38.0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hidden="1" customHeight="1">
      <c r="A173" s="25" t="s">
        <v>37</v>
      </c>
      <c r="B173" s="129" t="s">
        <v>5865</v>
      </c>
      <c r="C173" s="25" t="s">
        <v>34</v>
      </c>
      <c r="D173" s="125">
        <v>630.0</v>
      </c>
      <c r="E173" s="124">
        <v>210.0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hidden="1" customHeight="1">
      <c r="A174" s="126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8"/>
      <c r="X174" s="5"/>
      <c r="Y174" s="5"/>
      <c r="Z174" s="5"/>
    </row>
    <row r="175" ht="14.25" customHeight="1">
      <c r="A175" s="7" t="s">
        <v>5621</v>
      </c>
      <c r="B175" s="8" t="str">
        <f>'LIBERAÇÕES'!E84</f>
        <v>UNIAO DO SUL-MT</v>
      </c>
      <c r="C175" s="7" t="s">
        <v>5622</v>
      </c>
      <c r="D175" s="12" t="str">
        <f>'LIBERAÇÕES'!F84</f>
        <v>ALG SANTA TEREZA</v>
      </c>
      <c r="E175" s="10" t="str">
        <f>'LIBERAÇÕES'!L170</f>
        <v/>
      </c>
      <c r="F175" s="11" t="s">
        <v>5623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7" t="s">
        <v>5624</v>
      </c>
      <c r="B176" s="8" t="str">
        <f>'LIBERAÇÕES'!G84</f>
        <v>RONDONOPOLIS-MT</v>
      </c>
      <c r="C176" s="7" t="s">
        <v>5625</v>
      </c>
      <c r="D176" s="12" t="str">
        <f>'LIBERAÇÕES'!M84</f>
        <v>BRADO</v>
      </c>
      <c r="E176" s="13" t="s">
        <v>5626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5" t="s">
        <v>5627</v>
      </c>
      <c r="B177" s="12" t="str">
        <f>'LIBERAÇÕES'!C84</f>
        <v>SCHEFFER</v>
      </c>
      <c r="C177" s="15" t="s">
        <v>5628</v>
      </c>
      <c r="D177" s="123">
        <f>'LIBERAÇÕES'!I84</f>
        <v>1564</v>
      </c>
      <c r="E177" s="17" t="str">
        <f>'LIBERAÇÕES'!N170</f>
        <v/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5" t="s">
        <v>5629</v>
      </c>
      <c r="B178" s="18" t="str">
        <f>'LIBERAÇÕES'!J84</f>
        <v>E0-S14661.A01</v>
      </c>
      <c r="C178" s="19" t="s">
        <v>5630</v>
      </c>
      <c r="D178" s="16">
        <f>E181+E182+E183+E184+E185+E186+E187+E188+E189+E190+E191</f>
        <v>1561</v>
      </c>
      <c r="E178" s="13" t="s">
        <v>5631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5" t="s">
        <v>5632</v>
      </c>
      <c r="B179" s="20">
        <f>'LIBERAÇÕES'!K84</f>
        <v>46141</v>
      </c>
      <c r="C179" s="21" t="s">
        <v>5633</v>
      </c>
      <c r="D179" s="22">
        <f>D177-D178</f>
        <v>3</v>
      </c>
      <c r="E179" s="17">
        <f>'LIBERAÇÕES'!H84</f>
        <v>300</v>
      </c>
      <c r="F179" s="130">
        <v>28544.0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23" t="s">
        <v>1</v>
      </c>
      <c r="B180" s="23" t="s">
        <v>5634</v>
      </c>
      <c r="C180" s="23" t="s">
        <v>5635</v>
      </c>
      <c r="D180" s="23" t="s">
        <v>5636</v>
      </c>
      <c r="E180" s="24" t="s">
        <v>5637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25" t="s">
        <v>37</v>
      </c>
      <c r="B181" s="129" t="s">
        <v>5866</v>
      </c>
      <c r="C181" s="25" t="s">
        <v>10</v>
      </c>
      <c r="D181" s="125">
        <v>260.0</v>
      </c>
      <c r="E181" s="124">
        <v>136.0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25" t="s">
        <v>37</v>
      </c>
      <c r="B182" s="129" t="s">
        <v>5867</v>
      </c>
      <c r="C182" s="25" t="s">
        <v>6</v>
      </c>
      <c r="D182" s="125" t="s">
        <v>5868</v>
      </c>
      <c r="E182" s="124">
        <v>144.0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25" t="s">
        <v>37</v>
      </c>
      <c r="B183" s="129" t="s">
        <v>5869</v>
      </c>
      <c r="C183" s="25" t="s">
        <v>6</v>
      </c>
      <c r="D183" s="125" t="s">
        <v>5868</v>
      </c>
      <c r="E183" s="124">
        <v>140.0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25" t="s">
        <v>37</v>
      </c>
      <c r="B184" s="129" t="s">
        <v>5870</v>
      </c>
      <c r="C184" s="25" t="s">
        <v>10</v>
      </c>
      <c r="D184" s="125" t="s">
        <v>5868</v>
      </c>
      <c r="E184" s="124">
        <v>136.0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25" t="s">
        <v>37</v>
      </c>
      <c r="B185" s="129" t="s">
        <v>5861</v>
      </c>
      <c r="C185" s="25" t="s">
        <v>34</v>
      </c>
      <c r="D185" s="125" t="s">
        <v>5868</v>
      </c>
      <c r="E185" s="124">
        <v>220.0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25" t="s">
        <v>37</v>
      </c>
      <c r="B186" s="129" t="s">
        <v>5871</v>
      </c>
      <c r="C186" s="25" t="s">
        <v>6</v>
      </c>
      <c r="D186" s="125" t="s">
        <v>5868</v>
      </c>
      <c r="E186" s="124">
        <v>117.0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25" t="s">
        <v>37</v>
      </c>
      <c r="B187" s="129" t="s">
        <v>5872</v>
      </c>
      <c r="C187" s="25" t="s">
        <v>14</v>
      </c>
      <c r="D187" s="125" t="s">
        <v>5868</v>
      </c>
      <c r="E187" s="124">
        <v>160.0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25" t="s">
        <v>37</v>
      </c>
      <c r="B188" s="129" t="s">
        <v>5873</v>
      </c>
      <c r="C188" s="25" t="s">
        <v>26</v>
      </c>
      <c r="D188" s="125" t="s">
        <v>5868</v>
      </c>
      <c r="E188" s="124">
        <v>158.0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25" t="s">
        <v>37</v>
      </c>
      <c r="B189" s="131" t="s">
        <v>5874</v>
      </c>
      <c r="C189" s="25" t="s">
        <v>6</v>
      </c>
      <c r="D189" s="125" t="s">
        <v>5868</v>
      </c>
      <c r="E189" s="124">
        <v>135.0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25" t="s">
        <v>41</v>
      </c>
      <c r="B190" s="132" t="s">
        <v>5856</v>
      </c>
      <c r="C190" s="25" t="s">
        <v>34</v>
      </c>
      <c r="D190" s="125" t="s">
        <v>5868</v>
      </c>
      <c r="E190" s="124">
        <v>215.0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25"/>
      <c r="B191" s="129"/>
      <c r="C191" s="25"/>
      <c r="D191" s="125"/>
      <c r="E191" s="12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33"/>
      <c r="B193" s="133"/>
      <c r="C193" s="133"/>
      <c r="D193" s="133"/>
      <c r="E193" s="133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7" t="s">
        <v>5621</v>
      </c>
      <c r="B194" s="8" t="s">
        <v>5875</v>
      </c>
      <c r="C194" s="7" t="s">
        <v>5622</v>
      </c>
      <c r="D194" s="12" t="s">
        <v>5876</v>
      </c>
      <c r="E194" s="10" t="str">
        <f>'LIBERAÇÕES'!L202</f>
        <v/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7" t="s">
        <v>5624</v>
      </c>
      <c r="B195" s="8" t="s">
        <v>5877</v>
      </c>
      <c r="C195" s="7" t="s">
        <v>5625</v>
      </c>
      <c r="D195" s="12" t="s">
        <v>5774</v>
      </c>
      <c r="E195" s="13" t="s">
        <v>5626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5" t="s">
        <v>5627</v>
      </c>
      <c r="B196" s="12" t="s">
        <v>12</v>
      </c>
      <c r="C196" s="15" t="s">
        <v>5628</v>
      </c>
      <c r="D196" s="123">
        <v>551.0</v>
      </c>
      <c r="E196" s="134" t="s">
        <v>5666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5" t="s">
        <v>5629</v>
      </c>
      <c r="B197" s="12" t="s">
        <v>5878</v>
      </c>
      <c r="C197" s="19" t="s">
        <v>5630</v>
      </c>
      <c r="D197" s="16">
        <f>SUM(E200:E205)</f>
        <v>0</v>
      </c>
      <c r="E197" s="13" t="s">
        <v>5631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5" t="s">
        <v>5632</v>
      </c>
      <c r="B198" s="12" t="s">
        <v>5879</v>
      </c>
      <c r="C198" s="21" t="s">
        <v>5633</v>
      </c>
      <c r="D198" s="22">
        <f>D196-D197</f>
        <v>551</v>
      </c>
      <c r="E198" s="134">
        <v>630.0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23" t="s">
        <v>1</v>
      </c>
      <c r="B199" s="23" t="s">
        <v>5634</v>
      </c>
      <c r="C199" s="23" t="s">
        <v>5635</v>
      </c>
      <c r="D199" s="23" t="s">
        <v>5636</v>
      </c>
      <c r="E199" s="24" t="s">
        <v>5637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25"/>
      <c r="B200" s="135"/>
      <c r="C200" s="25"/>
      <c r="D200" s="125"/>
      <c r="E200" s="1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25"/>
      <c r="B201" s="124"/>
      <c r="C201" s="25"/>
      <c r="D201" s="125"/>
      <c r="E201" s="1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25"/>
      <c r="B202" s="124"/>
      <c r="C202" s="25"/>
      <c r="D202" s="125"/>
      <c r="E202" s="1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25"/>
      <c r="B203" s="124"/>
      <c r="C203" s="25"/>
      <c r="D203" s="125"/>
      <c r="E203" s="1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25"/>
      <c r="B204" s="124"/>
      <c r="C204" s="25"/>
      <c r="D204" s="125"/>
      <c r="E204" s="1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25"/>
      <c r="B205" s="124"/>
      <c r="C205" s="25"/>
      <c r="D205" s="125"/>
      <c r="E205" s="12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</sheetData>
  <mergeCells count="16">
    <mergeCell ref="A16:W16"/>
    <mergeCell ref="A25:W25"/>
    <mergeCell ref="A34:W34"/>
    <mergeCell ref="A43:W43"/>
    <mergeCell ref="A59:W59"/>
    <mergeCell ref="A69:W69"/>
    <mergeCell ref="A79:W79"/>
    <mergeCell ref="A165:W165"/>
    <mergeCell ref="A174:W174"/>
    <mergeCell ref="A89:W89"/>
    <mergeCell ref="A99:W99"/>
    <mergeCell ref="A118:W118"/>
    <mergeCell ref="A126:W126"/>
    <mergeCell ref="A137:W137"/>
    <mergeCell ref="A145:W145"/>
    <mergeCell ref="A154:W154"/>
  </mergeCells>
  <conditionalFormatting sqref="E1 E17 E26 E35 E44 E60 E70 E80 E90 E100 E119 E127 E138 E146 E155 E166 E175 E194">
    <cfRule type="cellIs" dxfId="0" priority="1" operator="between">
      <formula>6</formula>
      <formula>9</formula>
    </cfRule>
  </conditionalFormatting>
  <conditionalFormatting sqref="E1 E17 E26 E35 E44 E60 E70 E80 E90 E100 E119 E127 E138 E146 E155 E166 E175 E194">
    <cfRule type="cellIs" dxfId="1" priority="2" operator="lessThanOrEqual">
      <formula>5</formula>
    </cfRule>
  </conditionalFormatting>
  <conditionalFormatting sqref="E1 E17 E26 E35 E44 E60 E70 E80 E90 E100 E119 E127 E138 E146 E155 E166 E175 E194">
    <cfRule type="cellIs" dxfId="2" priority="3" operator="greaterThanOrEqual">
      <formula>10</formula>
    </cfRule>
  </conditionalFormatting>
  <dataValidations>
    <dataValidation type="list" allowBlank="1" showErrorMessage="1" sqref="A7:A15 A23:A24 A32:A33 A41:A42 A50:A58 A66:A68 A76:A78 A86:A88 A96:A98 A106:A117 A125 A133:A136 A144 A152:A153 A161:A164 A172:A173 A181:A191 A200:A205">
      <formula1>BASE!$C$2:$C$16</formula1>
    </dataValidation>
    <dataValidation type="list" allowBlank="1" showErrorMessage="1" sqref="C7:C15 C23:C24 C32:C33 C41:C42 C50:C58 C66:C68 C76:C78 C86:C88 C96:C98 C106:C117 C125 C133:C136 C144 C152:C153 C161:C164 C172:C173 C181:C191 C200:C205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5.29"/>
    <col customWidth="1" min="2" max="2" width="29.29"/>
    <col customWidth="1" min="3" max="3" width="32.57"/>
    <col customWidth="1" min="4" max="4" width="20.0"/>
    <col customWidth="1" min="5" max="5" width="19.86"/>
    <col customWidth="1" min="6" max="6" width="42.43"/>
    <col customWidth="1" min="7" max="26" width="8.71"/>
  </cols>
  <sheetData>
    <row r="1" ht="14.25" customHeight="1">
      <c r="A1" s="7" t="s">
        <v>5621</v>
      </c>
      <c r="B1" s="8" t="str">
        <f>'LIBERAÇÕES'!E4</f>
        <v>LUCAS DO RIO VERDE-MT</v>
      </c>
      <c r="C1" s="7" t="s">
        <v>5622</v>
      </c>
      <c r="D1" s="12" t="str">
        <f>'LIBERAÇÕES'!F4</f>
        <v>ALG S COTTON</v>
      </c>
      <c r="E1" s="10">
        <f>'LIBERAÇÕES'!L4</f>
        <v>-73</v>
      </c>
      <c r="F1" s="11" t="s">
        <v>5623</v>
      </c>
      <c r="G1" s="1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 t="s">
        <v>5624</v>
      </c>
      <c r="B2" s="8" t="str">
        <f>'LIBERAÇÕES'!G4</f>
        <v>SANTOS-SP</v>
      </c>
      <c r="C2" s="7" t="s">
        <v>5625</v>
      </c>
      <c r="D2" s="12" t="str">
        <f>'LIBERAÇÕES'!M4</f>
        <v>ALAMO</v>
      </c>
      <c r="E2" s="13" t="s">
        <v>5626</v>
      </c>
      <c r="F2" s="3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5" t="s">
        <v>5627</v>
      </c>
      <c r="B3" s="12" t="str">
        <f>'LIBERAÇÕES'!C4</f>
        <v>COFCO</v>
      </c>
      <c r="C3" s="15" t="s">
        <v>5628</v>
      </c>
      <c r="D3" s="16">
        <f>'LIBERAÇÕES'!I4</f>
        <v>1206</v>
      </c>
      <c r="E3" s="17" t="str">
        <f>'LIBERAÇÕES'!N4</f>
        <v>FARDINHO</v>
      </c>
      <c r="F3" s="1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5" t="s">
        <v>5629</v>
      </c>
      <c r="B4" s="18" t="str">
        <f>'LIBERAÇÕES'!J4</f>
        <v>S07453-MÃE-JAN-01</v>
      </c>
      <c r="C4" s="19" t="s">
        <v>5630</v>
      </c>
      <c r="D4" s="16">
        <f>SUM(E7:E13)</f>
        <v>1206</v>
      </c>
      <c r="E4" s="13" t="s">
        <v>5631</v>
      </c>
      <c r="F4" s="1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5" t="s">
        <v>5632</v>
      </c>
      <c r="B5" s="20">
        <f>'LIBERAÇÕES'!K4</f>
        <v>46069</v>
      </c>
      <c r="C5" s="21" t="s">
        <v>5633</v>
      </c>
      <c r="D5" s="22">
        <f>D3-D4</f>
        <v>0</v>
      </c>
      <c r="E5" s="17">
        <f>'LIBERAÇÕES'!H4</f>
        <v>670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3" t="s">
        <v>1</v>
      </c>
      <c r="B6" s="23" t="s">
        <v>5634</v>
      </c>
      <c r="C6" s="23" t="s">
        <v>5635</v>
      </c>
      <c r="D6" s="23" t="s">
        <v>5636</v>
      </c>
      <c r="E6" s="24" t="s">
        <v>5637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5" t="s">
        <v>37</v>
      </c>
      <c r="B7" s="124" t="s">
        <v>5880</v>
      </c>
      <c r="C7" s="25" t="s">
        <v>26</v>
      </c>
      <c r="D7" s="125">
        <v>600.0</v>
      </c>
      <c r="E7" s="124">
        <v>180.0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5" t="s">
        <v>37</v>
      </c>
      <c r="B8" s="124" t="s">
        <v>5881</v>
      </c>
      <c r="C8" s="25" t="s">
        <v>22</v>
      </c>
      <c r="D8" s="125">
        <v>600.0</v>
      </c>
      <c r="E8" s="124">
        <v>175.0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5" t="s">
        <v>37</v>
      </c>
      <c r="B9" s="124" t="s">
        <v>5882</v>
      </c>
      <c r="C9" s="25" t="s">
        <v>22</v>
      </c>
      <c r="D9" s="125">
        <v>600.0</v>
      </c>
      <c r="E9" s="124">
        <v>175.0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25" t="s">
        <v>37</v>
      </c>
      <c r="B10" s="124" t="s">
        <v>5883</v>
      </c>
      <c r="C10" s="25" t="s">
        <v>22</v>
      </c>
      <c r="D10" s="125">
        <v>600.0</v>
      </c>
      <c r="E10" s="124">
        <v>175.0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5" t="s">
        <v>37</v>
      </c>
      <c r="B11" s="124" t="s">
        <v>5884</v>
      </c>
      <c r="C11" s="25" t="s">
        <v>26</v>
      </c>
      <c r="D11" s="125">
        <v>630.0</v>
      </c>
      <c r="E11" s="124">
        <v>175.0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5" t="s">
        <v>37</v>
      </c>
      <c r="B12" s="124" t="s">
        <v>5885</v>
      </c>
      <c r="C12" s="25" t="s">
        <v>26</v>
      </c>
      <c r="D12" s="125">
        <v>600.0</v>
      </c>
      <c r="E12" s="124">
        <v>162.0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25" t="s">
        <v>37</v>
      </c>
      <c r="B13" s="124" t="s">
        <v>5886</v>
      </c>
      <c r="C13" s="25" t="s">
        <v>26</v>
      </c>
      <c r="D13" s="125">
        <v>600.0</v>
      </c>
      <c r="E13" s="124">
        <v>164.0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  <c r="X14" s="5"/>
      <c r="Y14" s="5"/>
      <c r="Z14" s="5"/>
    </row>
    <row r="15" ht="14.25" customHeight="1">
      <c r="A15" s="7" t="s">
        <v>5621</v>
      </c>
      <c r="B15" s="8" t="str">
        <f>'LIBERAÇÕES'!E5</f>
        <v>LUCAS DO RIO VERDE-MT</v>
      </c>
      <c r="C15" s="7" t="s">
        <v>5622</v>
      </c>
      <c r="D15" s="12" t="str">
        <f>'LIBERAÇÕES'!F5</f>
        <v>ALG S COTTON</v>
      </c>
      <c r="E15" s="10">
        <f>'LIBERAÇÕES'!L5</f>
        <v>-76</v>
      </c>
      <c r="F15" s="11" t="s">
        <v>5623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" t="s">
        <v>5624</v>
      </c>
      <c r="B16" s="8" t="str">
        <f>'LIBERAÇÕES'!G5</f>
        <v>CUBATAO-SP</v>
      </c>
      <c r="C16" s="7" t="s">
        <v>5625</v>
      </c>
      <c r="D16" s="12" t="str">
        <f>'LIBERAÇÕES'!M5</f>
        <v>ISIS</v>
      </c>
      <c r="E16" s="13" t="s">
        <v>5626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5" t="s">
        <v>5627</v>
      </c>
      <c r="B17" s="12" t="str">
        <f>'LIBERAÇÕES'!C5</f>
        <v>COFCO</v>
      </c>
      <c r="C17" s="15" t="s">
        <v>5628</v>
      </c>
      <c r="D17" s="16">
        <f>'LIBERAÇÕES'!I5</f>
        <v>169</v>
      </c>
      <c r="E17" s="17" t="str">
        <f>'LIBERAÇÕES'!N5</f>
        <v>FARDINHO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5" t="s">
        <v>5629</v>
      </c>
      <c r="B18" s="18" t="str">
        <f>'LIBERAÇÕES'!J5</f>
        <v>RODO-M37-JAN26-13</v>
      </c>
      <c r="C18" s="19" t="s">
        <v>5630</v>
      </c>
      <c r="D18" s="16">
        <f>SUM(E21)</f>
        <v>0</v>
      </c>
      <c r="E18" s="13" t="s">
        <v>5631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5" t="s">
        <v>5632</v>
      </c>
      <c r="B19" s="20">
        <f>'LIBERAÇÕES'!K5</f>
        <v>46066</v>
      </c>
      <c r="C19" s="21" t="s">
        <v>5633</v>
      </c>
      <c r="D19" s="22">
        <f>D17-D18</f>
        <v>169</v>
      </c>
      <c r="E19" s="17">
        <f>'LIBERAÇÕES'!H5</f>
        <v>670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3" t="s">
        <v>1</v>
      </c>
      <c r="B20" s="23" t="s">
        <v>5634</v>
      </c>
      <c r="C20" s="23" t="s">
        <v>5635</v>
      </c>
      <c r="D20" s="23" t="s">
        <v>5636</v>
      </c>
      <c r="E20" s="24" t="s">
        <v>5637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5"/>
      <c r="B21" s="36"/>
      <c r="C21" s="34"/>
      <c r="D21" s="125"/>
      <c r="E21" s="12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26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8"/>
      <c r="X22" s="5"/>
      <c r="Y22" s="5"/>
      <c r="Z22" s="5"/>
    </row>
    <row r="23" ht="14.25" customHeight="1">
      <c r="A23" s="7" t="s">
        <v>5621</v>
      </c>
      <c r="B23" s="8" t="str">
        <f>'LIBERAÇÕES'!E6</f>
        <v>LUCAS DO RIO VERDE-MT</v>
      </c>
      <c r="C23" s="7" t="s">
        <v>5622</v>
      </c>
      <c r="D23" s="12" t="str">
        <f>'LIBERAÇÕES'!F6</f>
        <v>ALG MARAPÉ</v>
      </c>
      <c r="E23" s="10">
        <f>'LIBERAÇÕES'!L6</f>
        <v>-76</v>
      </c>
      <c r="F23" s="11" t="s">
        <v>5623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7" t="s">
        <v>5624</v>
      </c>
      <c r="B24" s="8" t="str">
        <f>'LIBERAÇÕES'!G6</f>
        <v>CUBATAO-SP</v>
      </c>
      <c r="C24" s="7" t="s">
        <v>5625</v>
      </c>
      <c r="D24" s="12" t="str">
        <f>'LIBERAÇÕES'!M6</f>
        <v>CONLINE</v>
      </c>
      <c r="E24" s="13" t="s">
        <v>5626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5" t="s">
        <v>5627</v>
      </c>
      <c r="B25" s="12" t="str">
        <f>'LIBERAÇÕES'!C6</f>
        <v>COFCO</v>
      </c>
      <c r="C25" s="15" t="s">
        <v>5628</v>
      </c>
      <c r="D25" s="16">
        <f>'LIBERAÇÕES'!I6</f>
        <v>0</v>
      </c>
      <c r="E25" s="17" t="str">
        <f>'LIBERAÇÕES'!N6</f>
        <v>FARDÃO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5" t="s">
        <v>5629</v>
      </c>
      <c r="B26" s="18" t="str">
        <f>'LIBERAÇÕES'!J6</f>
        <v>WH-CONLINE-NOV25-16-SLM37</v>
      </c>
      <c r="C26" s="19" t="s">
        <v>5630</v>
      </c>
      <c r="D26" s="16">
        <f>SUM(E29:E30)</f>
        <v>0</v>
      </c>
      <c r="E26" s="13" t="s">
        <v>5631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5" t="s">
        <v>5632</v>
      </c>
      <c r="B27" s="20">
        <f>'LIBERAÇÕES'!K6</f>
        <v>46066</v>
      </c>
      <c r="C27" s="21" t="s">
        <v>5633</v>
      </c>
      <c r="D27" s="22">
        <f>D25-D26</f>
        <v>0</v>
      </c>
      <c r="E27" s="17">
        <f>'LIBERAÇÕES'!H6</f>
        <v>670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3" t="s">
        <v>1</v>
      </c>
      <c r="B28" s="23" t="s">
        <v>5634</v>
      </c>
      <c r="C28" s="23" t="s">
        <v>5635</v>
      </c>
      <c r="D28" s="23" t="s">
        <v>5636</v>
      </c>
      <c r="E28" s="24" t="s">
        <v>5637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25"/>
      <c r="B29" s="124"/>
      <c r="C29" s="25"/>
      <c r="D29" s="125"/>
      <c r="E29" s="12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5"/>
      <c r="B30" s="124"/>
      <c r="C30" s="25"/>
      <c r="D30" s="125"/>
      <c r="E30" s="12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8"/>
      <c r="X31" s="5"/>
      <c r="Y31" s="5"/>
      <c r="Z31" s="5"/>
    </row>
    <row r="32" ht="14.25" customHeight="1">
      <c r="A32" s="7" t="s">
        <v>5621</v>
      </c>
      <c r="B32" s="8" t="str">
        <f>'LIBERAÇÕES'!E7</f>
        <v>LUCAS DO RIO VERDE-MT</v>
      </c>
      <c r="C32" s="7" t="s">
        <v>5622</v>
      </c>
      <c r="D32" s="12" t="str">
        <f>'LIBERAÇÕES'!F7</f>
        <v>ALG MARAPÉ</v>
      </c>
      <c r="E32" s="10">
        <f>'LIBERAÇÕES'!L7</f>
        <v>-73</v>
      </c>
      <c r="F32" s="11" t="s">
        <v>5623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7" t="s">
        <v>5624</v>
      </c>
      <c r="B33" s="8" t="str">
        <f>'LIBERAÇÕES'!G7</f>
        <v>CUBATAO-SP</v>
      </c>
      <c r="C33" s="7" t="s">
        <v>5625</v>
      </c>
      <c r="D33" s="12" t="str">
        <f>'LIBERAÇÕES'!M7</f>
        <v>ISIS</v>
      </c>
      <c r="E33" s="13" t="s">
        <v>5626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5" t="s">
        <v>5627</v>
      </c>
      <c r="B34" s="12" t="str">
        <f>'LIBERAÇÕES'!C7</f>
        <v>COFCO</v>
      </c>
      <c r="C34" s="15" t="s">
        <v>5628</v>
      </c>
      <c r="D34" s="16">
        <f>'LIBERAÇÕES'!I7</f>
        <v>7667</v>
      </c>
      <c r="E34" s="17" t="str">
        <f>'LIBERAÇÕES'!N7</f>
        <v>FARDÃO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5" t="s">
        <v>5629</v>
      </c>
      <c r="B35" s="18" t="str">
        <f>'LIBERAÇÕES'!J7</f>
        <v>RODO-M36-JAN26-08</v>
      </c>
      <c r="C35" s="19" t="s">
        <v>5630</v>
      </c>
      <c r="D35" s="16">
        <f>SUM(E38:E80)</f>
        <v>7667</v>
      </c>
      <c r="E35" s="13" t="s">
        <v>5631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5" t="s">
        <v>5632</v>
      </c>
      <c r="B36" s="20">
        <f>'LIBERAÇÕES'!K7</f>
        <v>46069</v>
      </c>
      <c r="C36" s="21" t="s">
        <v>5633</v>
      </c>
      <c r="D36" s="22">
        <f>D34-D35</f>
        <v>0</v>
      </c>
      <c r="E36" s="17">
        <f>'LIBERAÇÕES'!H7</f>
        <v>670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23" t="s">
        <v>1</v>
      </c>
      <c r="B37" s="23" t="s">
        <v>5634</v>
      </c>
      <c r="C37" s="23" t="s">
        <v>5635</v>
      </c>
      <c r="D37" s="23" t="s">
        <v>5636</v>
      </c>
      <c r="E37" s="24" t="s">
        <v>5637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25" t="s">
        <v>37</v>
      </c>
      <c r="B38" s="124" t="s">
        <v>5887</v>
      </c>
      <c r="C38" s="25" t="s">
        <v>30</v>
      </c>
      <c r="D38" s="125">
        <v>600.0</v>
      </c>
      <c r="E38" s="124">
        <v>128.0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25" t="s">
        <v>37</v>
      </c>
      <c r="B39" s="124" t="s">
        <v>5888</v>
      </c>
      <c r="C39" s="25" t="s">
        <v>6</v>
      </c>
      <c r="D39" s="125">
        <v>600.0</v>
      </c>
      <c r="E39" s="124">
        <v>150.0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25" t="s">
        <v>37</v>
      </c>
      <c r="B40" s="124" t="s">
        <v>5889</v>
      </c>
      <c r="C40" s="25" t="s">
        <v>10</v>
      </c>
      <c r="D40" s="125">
        <v>600.0</v>
      </c>
      <c r="E40" s="124">
        <v>150.0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25" t="s">
        <v>37</v>
      </c>
      <c r="B41" s="124" t="s">
        <v>5890</v>
      </c>
      <c r="C41" s="25" t="s">
        <v>10</v>
      </c>
      <c r="D41" s="125">
        <v>600.0</v>
      </c>
      <c r="E41" s="124">
        <v>150.0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25" t="s">
        <v>37</v>
      </c>
      <c r="B42" s="124" t="s">
        <v>5891</v>
      </c>
      <c r="C42" s="25" t="s">
        <v>6</v>
      </c>
      <c r="D42" s="125">
        <v>600.0</v>
      </c>
      <c r="E42" s="124">
        <v>180.0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25" t="s">
        <v>37</v>
      </c>
      <c r="B43" s="124" t="s">
        <v>5892</v>
      </c>
      <c r="C43" s="25" t="s">
        <v>10</v>
      </c>
      <c r="D43" s="125">
        <v>600.0</v>
      </c>
      <c r="E43" s="124">
        <v>170.0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25" t="s">
        <v>37</v>
      </c>
      <c r="B44" s="124" t="s">
        <v>5893</v>
      </c>
      <c r="C44" s="25" t="s">
        <v>26</v>
      </c>
      <c r="D44" s="125">
        <v>600.0</v>
      </c>
      <c r="E44" s="124">
        <v>180.0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25" t="s">
        <v>37</v>
      </c>
      <c r="B45" s="124" t="s">
        <v>5894</v>
      </c>
      <c r="C45" s="25" t="s">
        <v>26</v>
      </c>
      <c r="D45" s="125">
        <v>600.0</v>
      </c>
      <c r="E45" s="124">
        <v>180.0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25" t="s">
        <v>37</v>
      </c>
      <c r="B46" s="124" t="s">
        <v>5895</v>
      </c>
      <c r="C46" s="25" t="s">
        <v>10</v>
      </c>
      <c r="D46" s="125">
        <v>600.0</v>
      </c>
      <c r="E46" s="124">
        <v>170.0</v>
      </c>
      <c r="F46" s="1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25" t="s">
        <v>37</v>
      </c>
      <c r="B47" s="124" t="s">
        <v>5896</v>
      </c>
      <c r="C47" s="25" t="s">
        <v>10</v>
      </c>
      <c r="D47" s="125">
        <v>600.0</v>
      </c>
      <c r="E47" s="124">
        <v>170.0</v>
      </c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 ht="14.25" customHeight="1">
      <c r="A48" s="25" t="s">
        <v>37</v>
      </c>
      <c r="B48" s="124" t="s">
        <v>5897</v>
      </c>
      <c r="C48" s="25" t="s">
        <v>26</v>
      </c>
      <c r="D48" s="125">
        <v>620.0</v>
      </c>
      <c r="E48" s="124">
        <v>180.0</v>
      </c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 ht="14.25" customHeight="1">
      <c r="A49" s="25" t="s">
        <v>37</v>
      </c>
      <c r="B49" s="124" t="s">
        <v>5898</v>
      </c>
      <c r="C49" s="25" t="s">
        <v>26</v>
      </c>
      <c r="D49" s="125">
        <v>600.0</v>
      </c>
      <c r="E49" s="124">
        <v>175.0</v>
      </c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ht="14.25" customHeight="1">
      <c r="A50" s="25" t="s">
        <v>37</v>
      </c>
      <c r="B50" s="124" t="s">
        <v>5899</v>
      </c>
      <c r="C50" s="25" t="s">
        <v>10</v>
      </c>
      <c r="D50" s="125">
        <v>600.0</v>
      </c>
      <c r="E50" s="124">
        <v>170.0</v>
      </c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 ht="14.25" customHeight="1">
      <c r="A51" s="25" t="s">
        <v>37</v>
      </c>
      <c r="B51" s="124" t="s">
        <v>5900</v>
      </c>
      <c r="C51" s="25" t="s">
        <v>10</v>
      </c>
      <c r="D51" s="125">
        <v>600.0</v>
      </c>
      <c r="E51" s="124">
        <v>140.0</v>
      </c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 ht="14.25" customHeight="1">
      <c r="A52" s="25" t="s">
        <v>37</v>
      </c>
      <c r="B52" s="124" t="s">
        <v>5901</v>
      </c>
      <c r="C52" s="25" t="s">
        <v>6</v>
      </c>
      <c r="D52" s="125">
        <v>600.0</v>
      </c>
      <c r="E52" s="124">
        <v>220.0</v>
      </c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ht="14.25" customHeight="1">
      <c r="A53" s="25" t="s">
        <v>37</v>
      </c>
      <c r="B53" s="124" t="s">
        <v>5902</v>
      </c>
      <c r="C53" s="25" t="s">
        <v>26</v>
      </c>
      <c r="D53" s="125">
        <v>600.0</v>
      </c>
      <c r="E53" s="124">
        <v>170.0</v>
      </c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ht="14.25" customHeight="1">
      <c r="A54" s="25" t="s">
        <v>37</v>
      </c>
      <c r="B54" s="124" t="s">
        <v>5903</v>
      </c>
      <c r="C54" s="25" t="s">
        <v>34</v>
      </c>
      <c r="D54" s="125">
        <v>600.0</v>
      </c>
      <c r="E54" s="124">
        <v>220.0</v>
      </c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 ht="14.25" customHeight="1">
      <c r="A55" s="25" t="s">
        <v>37</v>
      </c>
      <c r="B55" s="124" t="s">
        <v>5904</v>
      </c>
      <c r="C55" s="25" t="s">
        <v>10</v>
      </c>
      <c r="D55" s="125">
        <v>600.0</v>
      </c>
      <c r="E55" s="124">
        <v>170.0</v>
      </c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 ht="14.25" customHeight="1">
      <c r="A56" s="25" t="s">
        <v>37</v>
      </c>
      <c r="B56" s="124" t="s">
        <v>5905</v>
      </c>
      <c r="C56" s="25" t="s">
        <v>30</v>
      </c>
      <c r="D56" s="125">
        <v>600.0</v>
      </c>
      <c r="E56" s="124">
        <v>175.0</v>
      </c>
      <c r="F56" s="137"/>
      <c r="G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ht="14.25" customHeight="1">
      <c r="A57" s="25" t="s">
        <v>37</v>
      </c>
      <c r="B57" s="124" t="s">
        <v>5906</v>
      </c>
      <c r="C57" s="25" t="s">
        <v>30</v>
      </c>
      <c r="D57" s="125">
        <v>600.0</v>
      </c>
      <c r="E57" s="124">
        <v>165.0</v>
      </c>
      <c r="F57" s="4" t="s">
        <v>5907</v>
      </c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 ht="14.25" customHeight="1">
      <c r="A58" s="25" t="s">
        <v>37</v>
      </c>
      <c r="B58" s="124" t="s">
        <v>5908</v>
      </c>
      <c r="C58" s="25" t="s">
        <v>10</v>
      </c>
      <c r="D58" s="125">
        <v>600.0</v>
      </c>
      <c r="E58" s="124">
        <v>160.0</v>
      </c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ht="14.25" customHeight="1">
      <c r="A59" s="25" t="s">
        <v>37</v>
      </c>
      <c r="B59" s="124" t="s">
        <v>5909</v>
      </c>
      <c r="C59" s="25" t="s">
        <v>10</v>
      </c>
      <c r="D59" s="125">
        <v>630.0</v>
      </c>
      <c r="E59" s="124">
        <v>160.0</v>
      </c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ht="14.25" customHeight="1">
      <c r="A60" s="25" t="s">
        <v>37</v>
      </c>
      <c r="B60" s="124" t="s">
        <v>5910</v>
      </c>
      <c r="C60" s="25" t="s">
        <v>38</v>
      </c>
      <c r="D60" s="125">
        <v>620.0</v>
      </c>
      <c r="E60" s="124">
        <v>220.0</v>
      </c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 ht="14.25" customHeight="1">
      <c r="A61" s="25" t="s">
        <v>37</v>
      </c>
      <c r="B61" s="124" t="s">
        <v>5911</v>
      </c>
      <c r="C61" s="25" t="s">
        <v>26</v>
      </c>
      <c r="D61" s="125">
        <v>600.0</v>
      </c>
      <c r="E61" s="124">
        <v>175.0</v>
      </c>
      <c r="F61" s="138" t="s">
        <v>5912</v>
      </c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ht="14.25" customHeight="1">
      <c r="A62" s="25" t="s">
        <v>37</v>
      </c>
      <c r="B62" s="124" t="s">
        <v>5913</v>
      </c>
      <c r="C62" s="25" t="s">
        <v>34</v>
      </c>
      <c r="D62" s="125">
        <v>600.0</v>
      </c>
      <c r="E62" s="124">
        <v>230.0</v>
      </c>
      <c r="F62" s="138" t="s">
        <v>5914</v>
      </c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ht="14.25" customHeight="1">
      <c r="A63" s="25" t="s">
        <v>37</v>
      </c>
      <c r="B63" s="124" t="s">
        <v>5915</v>
      </c>
      <c r="C63" s="25" t="s">
        <v>26</v>
      </c>
      <c r="D63" s="125">
        <v>600.0</v>
      </c>
      <c r="E63" s="124">
        <v>175.0</v>
      </c>
      <c r="F63" s="138" t="s">
        <v>5912</v>
      </c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ht="14.25" customHeight="1">
      <c r="A64" s="25" t="s">
        <v>37</v>
      </c>
      <c r="B64" s="124" t="s">
        <v>5916</v>
      </c>
      <c r="C64" s="25" t="s">
        <v>10</v>
      </c>
      <c r="D64" s="125">
        <v>600.0</v>
      </c>
      <c r="E64" s="124">
        <v>135.0</v>
      </c>
      <c r="F64" s="138" t="s">
        <v>5914</v>
      </c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 ht="14.25" customHeight="1">
      <c r="A65" s="25" t="s">
        <v>37</v>
      </c>
      <c r="B65" s="124" t="s">
        <v>5917</v>
      </c>
      <c r="C65" s="25" t="s">
        <v>10</v>
      </c>
      <c r="D65" s="125">
        <v>600.0</v>
      </c>
      <c r="E65" s="124">
        <v>170.0</v>
      </c>
      <c r="F65" s="138" t="s">
        <v>5914</v>
      </c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 ht="14.25" customHeight="1">
      <c r="A66" s="25" t="s">
        <v>37</v>
      </c>
      <c r="B66" s="124" t="s">
        <v>5918</v>
      </c>
      <c r="C66" s="25" t="s">
        <v>26</v>
      </c>
      <c r="D66" s="125">
        <v>615.0</v>
      </c>
      <c r="E66" s="124">
        <v>180.0</v>
      </c>
      <c r="F66" s="138" t="s">
        <v>5914</v>
      </c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ht="14.25" customHeight="1">
      <c r="A67" s="25" t="s">
        <v>37</v>
      </c>
      <c r="B67" s="124" t="s">
        <v>5919</v>
      </c>
      <c r="C67" s="25" t="s">
        <v>30</v>
      </c>
      <c r="D67" s="125">
        <v>630.0</v>
      </c>
      <c r="E67" s="124">
        <v>169.0</v>
      </c>
      <c r="F67" s="139" t="s">
        <v>5920</v>
      </c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ht="14.25" customHeight="1">
      <c r="A68" s="25" t="s">
        <v>37</v>
      </c>
      <c r="B68" s="124" t="s">
        <v>5921</v>
      </c>
      <c r="C68" s="25" t="s">
        <v>26</v>
      </c>
      <c r="D68" s="125">
        <v>600.0</v>
      </c>
      <c r="E68" s="124">
        <v>180.0</v>
      </c>
      <c r="F68" s="138" t="s">
        <v>5914</v>
      </c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 ht="14.25" customHeight="1">
      <c r="A69" s="25" t="s">
        <v>37</v>
      </c>
      <c r="B69" s="124" t="s">
        <v>5922</v>
      </c>
      <c r="C69" s="25" t="s">
        <v>6</v>
      </c>
      <c r="D69" s="125">
        <v>600.0</v>
      </c>
      <c r="E69" s="124">
        <v>170.0</v>
      </c>
      <c r="F69" s="138" t="s">
        <v>5914</v>
      </c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 ht="14.25" customHeight="1">
      <c r="A70" s="25" t="s">
        <v>37</v>
      </c>
      <c r="B70" s="124" t="s">
        <v>5923</v>
      </c>
      <c r="C70" s="25" t="s">
        <v>34</v>
      </c>
      <c r="D70" s="125">
        <v>630.0</v>
      </c>
      <c r="E70" s="124">
        <v>220.0</v>
      </c>
      <c r="F70" s="138" t="s">
        <v>5914</v>
      </c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 ht="14.25" customHeight="1">
      <c r="A71" s="25" t="s">
        <v>37</v>
      </c>
      <c r="B71" s="124" t="s">
        <v>5924</v>
      </c>
      <c r="C71" s="25" t="s">
        <v>34</v>
      </c>
      <c r="D71" s="125">
        <v>600.0</v>
      </c>
      <c r="E71" s="124">
        <v>220.0</v>
      </c>
      <c r="F71" s="138" t="s">
        <v>5914</v>
      </c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ht="14.25" customHeight="1">
      <c r="A72" s="25" t="s">
        <v>37</v>
      </c>
      <c r="B72" s="124" t="s">
        <v>5925</v>
      </c>
      <c r="C72" s="25" t="s">
        <v>34</v>
      </c>
      <c r="D72" s="125">
        <v>600.0</v>
      </c>
      <c r="E72" s="124">
        <v>220.0</v>
      </c>
      <c r="F72" s="4" t="s">
        <v>5914</v>
      </c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ht="14.25" customHeight="1">
      <c r="A73" s="25" t="s">
        <v>37</v>
      </c>
      <c r="B73" s="124" t="s">
        <v>5926</v>
      </c>
      <c r="C73" s="25" t="s">
        <v>10</v>
      </c>
      <c r="D73" s="125">
        <v>600.0</v>
      </c>
      <c r="E73" s="124">
        <v>170.0</v>
      </c>
      <c r="F73" s="138" t="s">
        <v>5914</v>
      </c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ht="14.25" customHeight="1">
      <c r="A74" s="25" t="s">
        <v>37</v>
      </c>
      <c r="B74" s="124" t="s">
        <v>5927</v>
      </c>
      <c r="C74" s="25" t="s">
        <v>6</v>
      </c>
      <c r="D74" s="125">
        <v>610.0</v>
      </c>
      <c r="E74" s="124">
        <v>150.0</v>
      </c>
      <c r="F74" s="138" t="s">
        <v>5914</v>
      </c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ht="14.25" customHeight="1">
      <c r="A75" s="25" t="s">
        <v>37</v>
      </c>
      <c r="B75" s="124" t="s">
        <v>5928</v>
      </c>
      <c r="C75" s="25" t="s">
        <v>34</v>
      </c>
      <c r="D75" s="125">
        <v>600.0</v>
      </c>
      <c r="E75" s="124">
        <v>220.0</v>
      </c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 ht="14.25" customHeight="1">
      <c r="A76" s="25" t="s">
        <v>37</v>
      </c>
      <c r="B76" s="124" t="s">
        <v>5929</v>
      </c>
      <c r="C76" s="25" t="s">
        <v>26</v>
      </c>
      <c r="D76" s="125">
        <v>610.0</v>
      </c>
      <c r="E76" s="124">
        <v>180.0</v>
      </c>
      <c r="F76" s="138" t="s">
        <v>5914</v>
      </c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 ht="14.25" customHeight="1">
      <c r="A77" s="25" t="s">
        <v>37</v>
      </c>
      <c r="B77" s="124" t="s">
        <v>5930</v>
      </c>
      <c r="C77" s="25" t="s">
        <v>26</v>
      </c>
      <c r="D77" s="125">
        <v>620.0</v>
      </c>
      <c r="E77" s="124">
        <v>175.0</v>
      </c>
      <c r="F77" s="138" t="s">
        <v>5914</v>
      </c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ht="14.25" customHeight="1">
      <c r="A78" s="25" t="s">
        <v>37</v>
      </c>
      <c r="B78" s="124" t="s">
        <v>5931</v>
      </c>
      <c r="C78" s="25" t="s">
        <v>34</v>
      </c>
      <c r="D78" s="125">
        <v>600.0</v>
      </c>
      <c r="E78" s="124">
        <v>220.0</v>
      </c>
      <c r="F78" s="140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 ht="14.25" customHeight="1">
      <c r="A79" s="25" t="s">
        <v>37</v>
      </c>
      <c r="B79" s="124" t="s">
        <v>5895</v>
      </c>
      <c r="C79" s="25" t="s">
        <v>6</v>
      </c>
      <c r="D79" s="125">
        <v>600.0</v>
      </c>
      <c r="E79" s="124">
        <v>175.0</v>
      </c>
      <c r="F79" s="138" t="s">
        <v>5914</v>
      </c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 ht="14.25" customHeight="1">
      <c r="A80" s="25" t="s">
        <v>37</v>
      </c>
      <c r="B80" s="124" t="s">
        <v>5932</v>
      </c>
      <c r="C80" s="25" t="s">
        <v>22</v>
      </c>
      <c r="D80" s="125">
        <v>610.0</v>
      </c>
      <c r="E80" s="124">
        <v>180.0</v>
      </c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 ht="14.25" customHeight="1">
      <c r="A81" s="42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X81" s="5"/>
      <c r="Y81" s="5"/>
      <c r="Z81" s="5"/>
    </row>
    <row r="82" ht="14.25" customHeight="1">
      <c r="A82" s="7" t="s">
        <v>5621</v>
      </c>
      <c r="B82" s="8" t="str">
        <f>'LIBERAÇÕES'!E8</f>
        <v>LUCAS DO RIO VERDE-MT</v>
      </c>
      <c r="C82" s="7" t="s">
        <v>5622</v>
      </c>
      <c r="D82" s="12" t="str">
        <f>'LIBERAÇÕES'!F8</f>
        <v>ALG MARAPÉ</v>
      </c>
      <c r="E82" s="10">
        <f>'LIBERAÇÕES'!L8</f>
        <v>-73</v>
      </c>
      <c r="F82" s="11" t="s">
        <v>5623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7" t="s">
        <v>5624</v>
      </c>
      <c r="B83" s="8" t="str">
        <f>'LIBERAÇÕES'!G8</f>
        <v>SANTOS-SP</v>
      </c>
      <c r="C83" s="7" t="s">
        <v>5625</v>
      </c>
      <c r="D83" s="12" t="str">
        <f>'LIBERAÇÕES'!M8</f>
        <v>MEDLOG</v>
      </c>
      <c r="E83" s="13" t="s">
        <v>5626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5" t="s">
        <v>5627</v>
      </c>
      <c r="B84" s="12" t="str">
        <f>'LIBERAÇÕES'!C8</f>
        <v>COFCO</v>
      </c>
      <c r="C84" s="15" t="s">
        <v>5628</v>
      </c>
      <c r="D84" s="16">
        <f>'LIBERAÇÕES'!I8</f>
        <v>3477</v>
      </c>
      <c r="E84" s="17" t="str">
        <f>'LIBERAÇÕES'!N8</f>
        <v>FARDÃO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5" t="s">
        <v>5629</v>
      </c>
      <c r="B85" s="18" t="str">
        <f>'LIBERAÇÕES'!J8</f>
        <v>RODO-M37-JAN26-07</v>
      </c>
      <c r="C85" s="19" t="s">
        <v>5630</v>
      </c>
      <c r="D85" s="16">
        <f>SUM(E88:E109)</f>
        <v>3477</v>
      </c>
      <c r="E85" s="13" t="s">
        <v>5631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5" t="s">
        <v>5632</v>
      </c>
      <c r="B86" s="20">
        <f>'LIBERAÇÕES'!K8</f>
        <v>46069</v>
      </c>
      <c r="C86" s="21" t="s">
        <v>5633</v>
      </c>
      <c r="D86" s="22">
        <f>D84-D85</f>
        <v>0</v>
      </c>
      <c r="E86" s="17">
        <f>'LIBERAÇÕES'!H8</f>
        <v>670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23" t="s">
        <v>1</v>
      </c>
      <c r="B87" s="23" t="s">
        <v>5634</v>
      </c>
      <c r="C87" s="23" t="s">
        <v>5635</v>
      </c>
      <c r="D87" s="23" t="s">
        <v>5636</v>
      </c>
      <c r="E87" s="24" t="s">
        <v>5637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25" t="s">
        <v>37</v>
      </c>
      <c r="B88" s="124" t="s">
        <v>5933</v>
      </c>
      <c r="C88" s="25" t="s">
        <v>10</v>
      </c>
      <c r="D88" s="125">
        <v>605.0</v>
      </c>
      <c r="E88" s="124">
        <v>129.0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25" t="s">
        <v>37</v>
      </c>
      <c r="B89" s="124" t="s">
        <v>5934</v>
      </c>
      <c r="C89" s="25" t="s">
        <v>34</v>
      </c>
      <c r="D89" s="125">
        <v>620.0</v>
      </c>
      <c r="E89" s="124">
        <v>220.0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25" t="s">
        <v>37</v>
      </c>
      <c r="B90" s="124" t="s">
        <v>5935</v>
      </c>
      <c r="C90" s="25" t="s">
        <v>34</v>
      </c>
      <c r="D90" s="125">
        <v>620.0</v>
      </c>
      <c r="E90" s="124">
        <v>220.0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25" t="s">
        <v>37</v>
      </c>
      <c r="B91" s="124" t="s">
        <v>5936</v>
      </c>
      <c r="C91" s="25" t="s">
        <v>30</v>
      </c>
      <c r="D91" s="125">
        <v>600.0</v>
      </c>
      <c r="E91" s="124">
        <v>151.0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25" t="s">
        <v>37</v>
      </c>
      <c r="B92" s="124" t="s">
        <v>5937</v>
      </c>
      <c r="C92" s="25" t="s">
        <v>26</v>
      </c>
      <c r="D92" s="125">
        <v>600.0</v>
      </c>
      <c r="E92" s="124">
        <v>168.0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25" t="s">
        <v>37</v>
      </c>
      <c r="B93" s="124" t="s">
        <v>5911</v>
      </c>
      <c r="C93" s="25" t="s">
        <v>30</v>
      </c>
      <c r="D93" s="125">
        <v>630.0</v>
      </c>
      <c r="E93" s="124">
        <v>150.0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25" t="s">
        <v>37</v>
      </c>
      <c r="B94" s="124" t="s">
        <v>5938</v>
      </c>
      <c r="C94" s="25" t="s">
        <v>6</v>
      </c>
      <c r="D94" s="125">
        <v>600.0</v>
      </c>
      <c r="E94" s="124">
        <v>135.0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25" t="s">
        <v>37</v>
      </c>
      <c r="B95" s="124" t="s">
        <v>5939</v>
      </c>
      <c r="C95" s="25" t="s">
        <v>6</v>
      </c>
      <c r="D95" s="125">
        <v>600.0</v>
      </c>
      <c r="E95" s="124">
        <v>140.0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25" t="s">
        <v>37</v>
      </c>
      <c r="B96" s="124" t="s">
        <v>5900</v>
      </c>
      <c r="C96" s="25" t="s">
        <v>6</v>
      </c>
      <c r="D96" s="125">
        <v>600.0</v>
      </c>
      <c r="E96" s="124">
        <v>134.0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25" t="s">
        <v>37</v>
      </c>
      <c r="B97" s="124" t="s">
        <v>5901</v>
      </c>
      <c r="C97" s="25" t="s">
        <v>34</v>
      </c>
      <c r="D97" s="125">
        <v>600.0</v>
      </c>
      <c r="E97" s="124">
        <v>220.0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25" t="s">
        <v>37</v>
      </c>
      <c r="B98" s="124" t="s">
        <v>5940</v>
      </c>
      <c r="C98" s="25" t="s">
        <v>26</v>
      </c>
      <c r="D98" s="125">
        <v>600.0</v>
      </c>
      <c r="E98" s="124">
        <v>170.0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5" t="s">
        <v>37</v>
      </c>
      <c r="B99" s="124" t="s">
        <v>5941</v>
      </c>
      <c r="C99" s="25" t="s">
        <v>26</v>
      </c>
      <c r="D99" s="125">
        <v>600.0</v>
      </c>
      <c r="E99" s="124">
        <v>160.0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5" t="s">
        <v>37</v>
      </c>
      <c r="B100" s="124" t="s">
        <v>5902</v>
      </c>
      <c r="C100" s="25" t="s">
        <v>22</v>
      </c>
      <c r="D100" s="125">
        <v>600.0</v>
      </c>
      <c r="E100" s="124">
        <v>126.0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41" t="s">
        <v>37</v>
      </c>
      <c r="B101" s="142" t="s">
        <v>5903</v>
      </c>
      <c r="C101" s="143" t="s">
        <v>34</v>
      </c>
      <c r="D101" s="144">
        <v>600.0</v>
      </c>
      <c r="E101" s="145">
        <v>220.0</v>
      </c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ht="14.25" customHeight="1">
      <c r="A102" s="25" t="s">
        <v>37</v>
      </c>
      <c r="B102" s="124" t="s">
        <v>5942</v>
      </c>
      <c r="C102" s="25" t="s">
        <v>34</v>
      </c>
      <c r="D102" s="125">
        <v>600.0</v>
      </c>
      <c r="E102" s="124">
        <v>220.0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25" t="s">
        <v>37</v>
      </c>
      <c r="B103" s="124" t="s">
        <v>5943</v>
      </c>
      <c r="C103" s="25" t="s">
        <v>10</v>
      </c>
      <c r="D103" s="125">
        <v>600.0</v>
      </c>
      <c r="E103" s="124">
        <v>150.0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25" t="s">
        <v>37</v>
      </c>
      <c r="B104" s="124" t="s">
        <v>5944</v>
      </c>
      <c r="C104" s="25" t="s">
        <v>22</v>
      </c>
      <c r="D104" s="125">
        <v>620.0</v>
      </c>
      <c r="E104" s="124">
        <v>132.0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25" t="s">
        <v>37</v>
      </c>
      <c r="B105" s="124" t="s">
        <v>5905</v>
      </c>
      <c r="C105" s="25" t="s">
        <v>26</v>
      </c>
      <c r="D105" s="125">
        <v>600.0</v>
      </c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25" t="s">
        <v>37</v>
      </c>
      <c r="B106" s="124" t="s">
        <v>5945</v>
      </c>
      <c r="C106" s="25" t="s">
        <v>10</v>
      </c>
      <c r="D106" s="125">
        <v>600.0</v>
      </c>
      <c r="E106" s="124">
        <v>165.0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25" t="s">
        <v>37</v>
      </c>
      <c r="B107" s="124" t="s">
        <v>5946</v>
      </c>
      <c r="C107" s="25" t="s">
        <v>10</v>
      </c>
      <c r="D107" s="125">
        <v>620.0</v>
      </c>
      <c r="E107" s="124">
        <v>150.0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25" t="s">
        <v>37</v>
      </c>
      <c r="B108" s="124" t="s">
        <v>5926</v>
      </c>
      <c r="C108" s="25" t="s">
        <v>22</v>
      </c>
      <c r="D108" s="125">
        <v>620.0</v>
      </c>
      <c r="E108" s="124">
        <v>170.0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25" t="s">
        <v>37</v>
      </c>
      <c r="B109" s="124" t="s">
        <v>5932</v>
      </c>
      <c r="C109" s="25" t="s">
        <v>22</v>
      </c>
      <c r="D109" s="125">
        <v>610.0</v>
      </c>
      <c r="E109" s="124">
        <v>147.0</v>
      </c>
      <c r="F109" s="130" t="s">
        <v>5947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42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X110" s="5"/>
      <c r="Y110" s="5"/>
      <c r="Z110" s="5"/>
    </row>
    <row r="111" ht="14.25" customHeight="1">
      <c r="A111" s="7" t="s">
        <v>5621</v>
      </c>
      <c r="B111" s="8" t="str">
        <f>'LIBERAÇÕES'!E11</f>
        <v>LUCAS DO RIO VERDE-MT</v>
      </c>
      <c r="C111" s="7" t="s">
        <v>5622</v>
      </c>
      <c r="D111" s="12" t="str">
        <f>'LIBERAÇÕES'!F11</f>
        <v>ALG MARAPÉ</v>
      </c>
      <c r="E111" s="10">
        <f>'LIBERAÇÕES'!L11</f>
        <v>-73</v>
      </c>
      <c r="F111" s="11" t="s">
        <v>5623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7" t="s">
        <v>5624</v>
      </c>
      <c r="B112" s="8" t="str">
        <f>'LIBERAÇÕES'!G11</f>
        <v>SANTOS-SP</v>
      </c>
      <c r="C112" s="7" t="s">
        <v>5625</v>
      </c>
      <c r="D112" s="12" t="str">
        <f>'LIBERAÇÕES'!M11</f>
        <v>SIGMA</v>
      </c>
      <c r="E112" s="13" t="s">
        <v>5626</v>
      </c>
      <c r="F112" s="130" t="s">
        <v>5948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5" t="s">
        <v>5627</v>
      </c>
      <c r="B113" s="12" t="str">
        <f>'LIBERAÇÕES'!C11</f>
        <v>COFCO</v>
      </c>
      <c r="C113" s="15" t="s">
        <v>5628</v>
      </c>
      <c r="D113" s="16">
        <f>'LIBERAÇÕES'!I11</f>
        <v>156</v>
      </c>
      <c r="E113" s="17" t="str">
        <f>'LIBERAÇÕES'!N11</f>
        <v>FARDÃO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5" t="s">
        <v>5629</v>
      </c>
      <c r="B114" s="18" t="str">
        <f>'LIBERAÇÕES'!J11</f>
        <v>S07153-A-JAN-01</v>
      </c>
      <c r="C114" s="19" t="s">
        <v>5630</v>
      </c>
      <c r="D114" s="16">
        <f>SUM(E117:E119)</f>
        <v>156</v>
      </c>
      <c r="E114" s="13" t="s">
        <v>5631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5" t="s">
        <v>5632</v>
      </c>
      <c r="B115" s="20">
        <f>'LIBERAÇÕES'!K11</f>
        <v>46069</v>
      </c>
      <c r="C115" s="21" t="s">
        <v>5633</v>
      </c>
      <c r="D115" s="22">
        <f>D113-D114</f>
        <v>0</v>
      </c>
      <c r="E115" s="17">
        <f>'LIBERAÇÕES'!H11</f>
        <v>670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23" t="s">
        <v>1</v>
      </c>
      <c r="B116" s="23" t="s">
        <v>5634</v>
      </c>
      <c r="C116" s="23" t="s">
        <v>5635</v>
      </c>
      <c r="D116" s="23" t="s">
        <v>5636</v>
      </c>
      <c r="E116" s="24" t="s">
        <v>5637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25" t="s">
        <v>37</v>
      </c>
      <c r="B117" s="124" t="s">
        <v>5949</v>
      </c>
      <c r="C117" s="25" t="s">
        <v>30</v>
      </c>
      <c r="D117" s="125">
        <v>630.0</v>
      </c>
      <c r="E117" s="124">
        <v>156.0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25"/>
      <c r="B118" s="124"/>
      <c r="C118" s="34"/>
      <c r="D118" s="125"/>
      <c r="E118" s="12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5"/>
      <c r="B119" s="124"/>
      <c r="C119" s="34"/>
      <c r="D119" s="125"/>
      <c r="E119" s="12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26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8"/>
      <c r="X120" s="5"/>
      <c r="Y120" s="5"/>
      <c r="Z120" s="5"/>
    </row>
    <row r="121" ht="14.25" customHeight="1">
      <c r="A121" s="7" t="s">
        <v>5621</v>
      </c>
      <c r="B121" s="8" t="str">
        <f>'LIBERAÇÕES'!E13</f>
        <v>LUCAS DO RIO VERDE-MT</v>
      </c>
      <c r="C121" s="7" t="s">
        <v>5622</v>
      </c>
      <c r="D121" s="12" t="str">
        <f>'LIBERAÇÕES'!F13</f>
        <v>ALG SANTO ANTONIO</v>
      </c>
      <c r="E121" s="10">
        <f>'LIBERAÇÕES'!L13</f>
        <v>-61</v>
      </c>
      <c r="F121" s="11" t="s">
        <v>5623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7" t="s">
        <v>5624</v>
      </c>
      <c r="B122" s="8" t="str">
        <f>'LIBERAÇÕES'!G13</f>
        <v>RONDONOPOLIS-MT</v>
      </c>
      <c r="C122" s="7" t="s">
        <v>5625</v>
      </c>
      <c r="D122" s="12" t="str">
        <f>'LIBERAÇÕES'!M13</f>
        <v>LDC</v>
      </c>
      <c r="E122" s="13" t="s">
        <v>5626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5" t="s">
        <v>5627</v>
      </c>
      <c r="B123" s="12" t="str">
        <f>'LIBERAÇÕES'!C13</f>
        <v>NUTRADE </v>
      </c>
      <c r="C123" s="15" t="s">
        <v>5628</v>
      </c>
      <c r="D123" s="16">
        <f>'LIBERAÇÕES'!I13</f>
        <v>145</v>
      </c>
      <c r="E123" s="17" t="str">
        <f>'LIBERAÇÕES'!N13</f>
        <v>FARDÃO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5" t="s">
        <v>5629</v>
      </c>
      <c r="B124" s="18" t="str">
        <f>'LIBERAÇÕES'!J13</f>
        <v>RDN-DOM-ANP-25-AL111</v>
      </c>
      <c r="C124" s="19" t="s">
        <v>5630</v>
      </c>
      <c r="D124" s="123">
        <f>SUM(E127:E133)</f>
        <v>145</v>
      </c>
      <c r="E124" s="13" t="s">
        <v>5631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5" t="s">
        <v>5632</v>
      </c>
      <c r="B125" s="20">
        <f>'LIBERAÇÕES'!K13</f>
        <v>46081</v>
      </c>
      <c r="C125" s="21" t="s">
        <v>5633</v>
      </c>
      <c r="D125" s="22">
        <f>D123-D124</f>
        <v>0</v>
      </c>
      <c r="E125" s="17">
        <f>'LIBERAÇÕES'!H13</f>
        <v>280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23" t="s">
        <v>1</v>
      </c>
      <c r="B126" s="23" t="s">
        <v>5634</v>
      </c>
      <c r="C126" s="23" t="s">
        <v>5635</v>
      </c>
      <c r="D126" s="23" t="s">
        <v>5636</v>
      </c>
      <c r="E126" s="24" t="s">
        <v>5637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25" t="s">
        <v>37</v>
      </c>
      <c r="B127" s="124" t="s">
        <v>5950</v>
      </c>
      <c r="C127" s="25" t="s">
        <v>54</v>
      </c>
      <c r="D127" s="125">
        <v>260.0</v>
      </c>
      <c r="E127" s="124">
        <v>71.0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25" t="s">
        <v>37</v>
      </c>
      <c r="B128" s="124" t="s">
        <v>5951</v>
      </c>
      <c r="C128" s="25" t="s">
        <v>54</v>
      </c>
      <c r="D128" s="125">
        <v>250.0</v>
      </c>
      <c r="E128" s="124">
        <v>74.0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26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8"/>
      <c r="X129" s="5"/>
      <c r="Y129" s="5"/>
      <c r="Z129" s="5"/>
    </row>
    <row r="130" ht="14.25" customHeight="1">
      <c r="A130" s="25"/>
      <c r="B130" s="36"/>
      <c r="C130" s="34"/>
      <c r="D130" s="35"/>
      <c r="E130" s="12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25"/>
      <c r="B131" s="36"/>
      <c r="C131" s="34"/>
      <c r="D131" s="35"/>
      <c r="E131" s="12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25"/>
      <c r="B132" s="36"/>
      <c r="C132" s="34"/>
      <c r="D132" s="35"/>
      <c r="E132" s="12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25"/>
      <c r="B133" s="36"/>
      <c r="C133" s="34"/>
      <c r="D133" s="35"/>
      <c r="E133" s="12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7" t="s">
        <v>5621</v>
      </c>
      <c r="B134" s="8" t="str">
        <f>'LIBERAÇÕES'!E14</f>
        <v>LUCAS DO RIO VERDE-MT</v>
      </c>
      <c r="C134" s="7" t="s">
        <v>5622</v>
      </c>
      <c r="D134" s="12" t="str">
        <f>'LIBERAÇÕES'!F14</f>
        <v>ALG LUCAS COTTON</v>
      </c>
      <c r="E134" s="10">
        <f>'LIBERAÇÕES'!L14</f>
        <v>-52</v>
      </c>
      <c r="F134" s="11" t="s">
        <v>5623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7" t="s">
        <v>5624</v>
      </c>
      <c r="B135" s="8" t="str">
        <f>'LIBERAÇÕES'!G14</f>
        <v>GUARUJA-SP</v>
      </c>
      <c r="C135" s="7" t="s">
        <v>5625</v>
      </c>
      <c r="D135" s="12" t="str">
        <f>'LIBERAÇÕES'!M14</f>
        <v>MOVECITA</v>
      </c>
      <c r="E135" s="13" t="s">
        <v>5626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5" t="s">
        <v>5627</v>
      </c>
      <c r="B136" s="12" t="str">
        <f>'LIBERAÇÕES'!C14</f>
        <v>NUTRADE </v>
      </c>
      <c r="C136" s="15" t="s">
        <v>5628</v>
      </c>
      <c r="D136" s="16">
        <f>'LIBERAÇÕES'!I14</f>
        <v>450</v>
      </c>
      <c r="E136" s="17" t="str">
        <f>'LIBERAÇÕES'!N14</f>
        <v>FARDINHO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5" t="s">
        <v>5629</v>
      </c>
      <c r="B137" s="18" t="str">
        <f>'LIBERAÇÕES'!J14</f>
        <v>25424HK-04A</v>
      </c>
      <c r="C137" s="19" t="s">
        <v>5630</v>
      </c>
      <c r="D137" s="16">
        <f>SUM(E140:E142)</f>
        <v>0</v>
      </c>
      <c r="E137" s="13" t="s">
        <v>5631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5" t="s">
        <v>5632</v>
      </c>
      <c r="B138" s="20">
        <f>'LIBERAÇÕES'!K14</f>
        <v>46090</v>
      </c>
      <c r="C138" s="21" t="s">
        <v>5633</v>
      </c>
      <c r="D138" s="22">
        <f>D136-D137</f>
        <v>450</v>
      </c>
      <c r="E138" s="17">
        <f>'LIBERAÇÕES'!H14</f>
        <v>650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23" t="s">
        <v>1</v>
      </c>
      <c r="B139" s="23" t="s">
        <v>5634</v>
      </c>
      <c r="C139" s="23" t="s">
        <v>5635</v>
      </c>
      <c r="D139" s="23" t="s">
        <v>5636</v>
      </c>
      <c r="E139" s="24" t="s">
        <v>5637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25"/>
      <c r="B140" s="36"/>
      <c r="C140" s="34"/>
      <c r="D140" s="125"/>
      <c r="E140" s="12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25"/>
      <c r="B141" s="124"/>
      <c r="C141" s="34"/>
      <c r="D141" s="125"/>
      <c r="E141" s="12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25"/>
      <c r="B142" s="36"/>
      <c r="C142" s="34"/>
      <c r="D142" s="35"/>
      <c r="E142" s="12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26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8"/>
      <c r="X143" s="5"/>
      <c r="Y143" s="5"/>
      <c r="Z143" s="5"/>
    </row>
    <row r="144" ht="14.25" customHeight="1">
      <c r="A144" s="7" t="s">
        <v>5621</v>
      </c>
      <c r="B144" s="8" t="str">
        <f>'LIBERAÇÕES'!E16</f>
        <v>TAPURAH-MT</v>
      </c>
      <c r="C144" s="7" t="s">
        <v>5622</v>
      </c>
      <c r="D144" s="12" t="str">
        <f>'LIBERAÇÕES'!F16</f>
        <v>ALG ELDORADO</v>
      </c>
      <c r="E144" s="10">
        <f>'LIBERAÇÕES'!L16</f>
        <v>-71</v>
      </c>
      <c r="F144" s="11" t="s">
        <v>5623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7" t="s">
        <v>5624</v>
      </c>
      <c r="B145" s="8" t="str">
        <f>'LIBERAÇÕES'!G16</f>
        <v>GUARUJA-SP</v>
      </c>
      <c r="C145" s="7" t="s">
        <v>5625</v>
      </c>
      <c r="D145" s="12" t="str">
        <f>'LIBERAÇÕES'!M16</f>
        <v>MOVECITA</v>
      </c>
      <c r="E145" s="13" t="s">
        <v>5626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5" t="s">
        <v>5627</v>
      </c>
      <c r="B146" s="12" t="str">
        <f>'LIBERAÇÕES'!C16</f>
        <v>BOA ESPERANÇA</v>
      </c>
      <c r="C146" s="15" t="s">
        <v>5628</v>
      </c>
      <c r="D146" s="16">
        <f>'LIBERAÇÕES'!I16</f>
        <v>200</v>
      </c>
      <c r="E146" s="17" t="str">
        <f>'LIBERAÇÕES'!N16</f>
        <v>FARDINHO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5" t="s">
        <v>5629</v>
      </c>
      <c r="B147" s="18" t="str">
        <f>'LIBERAÇÕES'!J16</f>
        <v>BOA02525 </v>
      </c>
      <c r="C147" s="19" t="s">
        <v>5630</v>
      </c>
      <c r="D147" s="16">
        <f>SUM(E150:E152)</f>
        <v>200</v>
      </c>
      <c r="E147" s="13" t="s">
        <v>5631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5" t="s">
        <v>5632</v>
      </c>
      <c r="B148" s="20">
        <f>'LIBERAÇÕES'!K16</f>
        <v>46071</v>
      </c>
      <c r="C148" s="21" t="s">
        <v>5633</v>
      </c>
      <c r="D148" s="22">
        <f>D146-D147</f>
        <v>0</v>
      </c>
      <c r="E148" s="17">
        <f>'LIBERAÇÕES'!H16</f>
        <v>640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23" t="s">
        <v>1</v>
      </c>
      <c r="B149" s="23" t="s">
        <v>5634</v>
      </c>
      <c r="C149" s="23" t="s">
        <v>5635</v>
      </c>
      <c r="D149" s="23" t="s">
        <v>5636</v>
      </c>
      <c r="E149" s="24" t="s">
        <v>5637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25" t="s">
        <v>37</v>
      </c>
      <c r="B150" s="124" t="s">
        <v>5839</v>
      </c>
      <c r="C150" s="25" t="s">
        <v>34</v>
      </c>
      <c r="D150" s="125"/>
      <c r="E150" s="124">
        <v>61.0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25" t="s">
        <v>37</v>
      </c>
      <c r="B151" s="124" t="s">
        <v>5952</v>
      </c>
      <c r="C151" s="25" t="s">
        <v>6</v>
      </c>
      <c r="D151" s="125"/>
      <c r="E151" s="124">
        <v>139.0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25"/>
      <c r="B152" s="36"/>
      <c r="C152" s="34"/>
      <c r="D152" s="35"/>
      <c r="E152" s="12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26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8"/>
      <c r="X153" s="5"/>
      <c r="Y153" s="5"/>
      <c r="Z153" s="5"/>
    </row>
    <row r="154" ht="14.25" customHeight="1">
      <c r="A154" s="7" t="s">
        <v>5621</v>
      </c>
      <c r="B154" s="8" t="str">
        <f>'LIBERAÇÕES'!E18</f>
        <v>LUCAS DO RIO VERDE-MT</v>
      </c>
      <c r="C154" s="7" t="s">
        <v>5622</v>
      </c>
      <c r="D154" s="12" t="str">
        <f>'LIBERAÇÕES'!F18</f>
        <v>ALG RIO VERDE</v>
      </c>
      <c r="E154" s="10">
        <f>'LIBERAÇÕES'!L18</f>
        <v>-71</v>
      </c>
      <c r="F154" s="11" t="s">
        <v>5623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7" t="s">
        <v>5624</v>
      </c>
      <c r="B155" s="8" t="str">
        <f>'LIBERAÇÕES'!G18</f>
        <v>GUARUJA-SP</v>
      </c>
      <c r="C155" s="7" t="s">
        <v>5625</v>
      </c>
      <c r="D155" s="12" t="str">
        <f>'LIBERAÇÕES'!M18</f>
        <v>MOVECITA</v>
      </c>
      <c r="E155" s="13" t="s">
        <v>5626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5" t="s">
        <v>5627</v>
      </c>
      <c r="B156" s="12" t="str">
        <f>'LIBERAÇÕES'!C18</f>
        <v>BOA ESPERANÇA</v>
      </c>
      <c r="C156" s="15" t="s">
        <v>5628</v>
      </c>
      <c r="D156" s="16">
        <f>'LIBERAÇÕES'!I18</f>
        <v>238</v>
      </c>
      <c r="E156" s="17" t="str">
        <f>'LIBERAÇÕES'!N18</f>
        <v>FARDINHO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5" t="s">
        <v>5629</v>
      </c>
      <c r="B157" s="18" t="str">
        <f>'LIBERAÇÕES'!J18</f>
        <v>BOA02525 </v>
      </c>
      <c r="C157" s="19" t="s">
        <v>5630</v>
      </c>
      <c r="D157" s="16">
        <f>SUM(E160)</f>
        <v>238</v>
      </c>
      <c r="E157" s="13" t="s">
        <v>5631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5" t="s">
        <v>5632</v>
      </c>
      <c r="B158" s="20">
        <f>'LIBERAÇÕES'!K18</f>
        <v>46071</v>
      </c>
      <c r="C158" s="21" t="s">
        <v>5633</v>
      </c>
      <c r="D158" s="22">
        <f>D156-D157</f>
        <v>0</v>
      </c>
      <c r="E158" s="17">
        <f>'LIBERAÇÕES'!H18</f>
        <v>630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23" t="s">
        <v>1</v>
      </c>
      <c r="B159" s="23" t="s">
        <v>5634</v>
      </c>
      <c r="C159" s="23" t="s">
        <v>5635</v>
      </c>
      <c r="D159" s="23" t="s">
        <v>5636</v>
      </c>
      <c r="E159" s="24" t="s">
        <v>5637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25" t="s">
        <v>37</v>
      </c>
      <c r="B160" s="124" t="s">
        <v>5953</v>
      </c>
      <c r="C160" s="25" t="s">
        <v>34</v>
      </c>
      <c r="D160" s="125">
        <v>590.0</v>
      </c>
      <c r="E160" s="124">
        <v>238.0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26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8"/>
      <c r="X161" s="5"/>
      <c r="Y161" s="5"/>
      <c r="Z161" s="5"/>
    </row>
    <row r="162" ht="14.25" customHeight="1">
      <c r="A162" s="7" t="s">
        <v>5621</v>
      </c>
      <c r="B162" s="8" t="str">
        <f>'LIBERAÇÕES'!E21</f>
        <v>LUCAS DO RIO VERDE-MT</v>
      </c>
      <c r="C162" s="7" t="s">
        <v>5622</v>
      </c>
      <c r="D162" s="12" t="str">
        <f>'LIBERAÇÕES'!F21</f>
        <v>ALG LUCAS COTTON</v>
      </c>
      <c r="E162" s="10">
        <f>'LIBERAÇÕES'!L21</f>
        <v>-69</v>
      </c>
      <c r="F162" s="11" t="s">
        <v>5623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7" t="s">
        <v>5624</v>
      </c>
      <c r="B163" s="8" t="str">
        <f>'LIBERAÇÕES'!G21</f>
        <v>NATAL-RN</v>
      </c>
      <c r="C163" s="7" t="s">
        <v>5625</v>
      </c>
      <c r="D163" s="12" t="str">
        <f>'LIBERAÇÕES'!M21</f>
        <v>VICUNHA</v>
      </c>
      <c r="E163" s="13" t="s">
        <v>5626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5" t="s">
        <v>5627</v>
      </c>
      <c r="B164" s="12" t="str">
        <f>'LIBERAÇÕES'!C21</f>
        <v>NUTRADE </v>
      </c>
      <c r="C164" s="15" t="s">
        <v>5628</v>
      </c>
      <c r="D164" s="16">
        <f>'LIBERAÇÕES'!I21</f>
        <v>300</v>
      </c>
      <c r="E164" s="17" t="str">
        <f>'LIBERAÇÕES'!N21</f>
        <v>FARDINHO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5" t="s">
        <v>5629</v>
      </c>
      <c r="B165" s="18" t="str">
        <f>'LIBERAÇÕES'!J21</f>
        <v> 250071-04</v>
      </c>
      <c r="C165" s="19" t="s">
        <v>5630</v>
      </c>
      <c r="D165" s="16">
        <f>SUM(E168:E169)</f>
        <v>0</v>
      </c>
      <c r="E165" s="13" t="s">
        <v>5631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5" t="s">
        <v>5632</v>
      </c>
      <c r="B166" s="20">
        <f>'LIBERAÇÕES'!K21</f>
        <v>46073</v>
      </c>
      <c r="C166" s="21" t="s">
        <v>5633</v>
      </c>
      <c r="D166" s="22">
        <f>D164-D165</f>
        <v>300</v>
      </c>
      <c r="E166" s="17">
        <f>'LIBERAÇÕES'!H21</f>
        <v>862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23" t="s">
        <v>1</v>
      </c>
      <c r="B167" s="23" t="s">
        <v>5634</v>
      </c>
      <c r="C167" s="23" t="s">
        <v>5635</v>
      </c>
      <c r="D167" s="23" t="s">
        <v>5636</v>
      </c>
      <c r="E167" s="24" t="s">
        <v>5637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25"/>
      <c r="B168" s="124"/>
      <c r="C168" s="34"/>
      <c r="D168" s="125"/>
      <c r="E168" s="12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25"/>
      <c r="B169" s="36"/>
      <c r="C169" s="34"/>
      <c r="D169" s="35"/>
      <c r="E169" s="12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26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8"/>
      <c r="X170" s="5"/>
      <c r="Y170" s="5"/>
      <c r="Z170" s="5"/>
    </row>
    <row r="171" ht="14.25" customHeight="1">
      <c r="A171" s="7" t="s">
        <v>5621</v>
      </c>
      <c r="B171" s="8" t="str">
        <f>'LIBERAÇÕES'!E23</f>
        <v>LUCAS DO RIO VERDE-MT</v>
      </c>
      <c r="C171" s="7" t="s">
        <v>5622</v>
      </c>
      <c r="D171" s="12" t="str">
        <f>'LIBERAÇÕES'!F23</f>
        <v>LUCAS COTTON</v>
      </c>
      <c r="E171" s="10">
        <f>'LIBERAÇÕES'!L23</f>
        <v>-73</v>
      </c>
      <c r="F171" s="11" t="s">
        <v>5623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7" t="s">
        <v>5624</v>
      </c>
      <c r="B172" s="8" t="str">
        <f>'LIBERAÇÕES'!G23</f>
        <v>CUBATAO-SP</v>
      </c>
      <c r="C172" s="7" t="s">
        <v>5625</v>
      </c>
      <c r="D172" s="12" t="str">
        <f>'LIBERAÇÕES'!M23</f>
        <v>ISIS</v>
      </c>
      <c r="E172" s="13" t="s">
        <v>5626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5" t="s">
        <v>5627</v>
      </c>
      <c r="B173" s="12" t="str">
        <f>'LIBERAÇÕES'!C23</f>
        <v>COFCO</v>
      </c>
      <c r="C173" s="15" t="s">
        <v>5628</v>
      </c>
      <c r="D173" s="16">
        <f>'LIBERAÇÕES'!I23</f>
        <v>331</v>
      </c>
      <c r="E173" s="17" t="str">
        <f>'LIBERAÇÕES'!N23</f>
        <v>FARDINHO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5" t="s">
        <v>5629</v>
      </c>
      <c r="B174" s="18" t="str">
        <f>'LIBERAÇÕES'!J23</f>
        <v>RODO-M37-JAN26-04</v>
      </c>
      <c r="C174" s="19" t="s">
        <v>5630</v>
      </c>
      <c r="D174" s="16">
        <f>SUM(E177:E178)</f>
        <v>331</v>
      </c>
      <c r="E174" s="13" t="s">
        <v>5631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5" t="s">
        <v>5632</v>
      </c>
      <c r="B175" s="20">
        <f>'LIBERAÇÕES'!K23</f>
        <v>46069</v>
      </c>
      <c r="C175" s="21" t="s">
        <v>5633</v>
      </c>
      <c r="D175" s="22">
        <f>D173-D174</f>
        <v>0</v>
      </c>
      <c r="E175" s="17">
        <f>'LIBERAÇÕES'!H23</f>
        <v>670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23" t="s">
        <v>1</v>
      </c>
      <c r="B176" s="23" t="s">
        <v>5634</v>
      </c>
      <c r="C176" s="23" t="s">
        <v>5635</v>
      </c>
      <c r="D176" s="23" t="s">
        <v>5636</v>
      </c>
      <c r="E176" s="24" t="s">
        <v>5637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25" t="s">
        <v>37</v>
      </c>
      <c r="B177" s="124" t="s">
        <v>5954</v>
      </c>
      <c r="C177" s="25" t="s">
        <v>26</v>
      </c>
      <c r="D177" s="125">
        <v>670.0</v>
      </c>
      <c r="E177" s="124">
        <v>156.0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25" t="s">
        <v>37</v>
      </c>
      <c r="B178" s="124" t="s">
        <v>5955</v>
      </c>
      <c r="C178" s="25" t="s">
        <v>26</v>
      </c>
      <c r="D178" s="125">
        <v>630.0</v>
      </c>
      <c r="E178" s="124">
        <v>175.0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26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8"/>
      <c r="X179" s="5"/>
      <c r="Y179" s="5"/>
      <c r="Z179" s="5"/>
    </row>
    <row r="180" ht="14.25" customHeight="1">
      <c r="A180" s="7" t="s">
        <v>5621</v>
      </c>
      <c r="B180" s="8" t="str">
        <f>'LIBERAÇÕES'!E33</f>
        <v>CAMPO VERDE-MT</v>
      </c>
      <c r="C180" s="7" t="s">
        <v>5622</v>
      </c>
      <c r="D180" s="12" t="str">
        <f>'LIBERAÇÕES'!F33</f>
        <v>ALG PRINCESA</v>
      </c>
      <c r="E180" s="10">
        <f>'LIBERAÇÕES'!L33</f>
        <v>-55</v>
      </c>
      <c r="F180" s="11" t="s">
        <v>5623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7" t="s">
        <v>5624</v>
      </c>
      <c r="B181" s="8" t="str">
        <f>'LIBERAÇÕES'!G33</f>
        <v>SANTOS-SP</v>
      </c>
      <c r="C181" s="7" t="s">
        <v>5625</v>
      </c>
      <c r="D181" s="12" t="str">
        <f>'LIBERAÇÕES'!M33</f>
        <v/>
      </c>
      <c r="E181" s="13" t="s">
        <v>5626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5" t="s">
        <v>5627</v>
      </c>
      <c r="B182" s="12" t="str">
        <f>'LIBERAÇÕES'!C33</f>
        <v>COFCO</v>
      </c>
      <c r="C182" s="15" t="s">
        <v>5628</v>
      </c>
      <c r="D182" s="16">
        <f>'LIBERAÇÕES'!I33</f>
        <v>126</v>
      </c>
      <c r="E182" s="17" t="str">
        <f>'LIBERAÇÕES'!N33</f>
        <v>FARDÃO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5" t="s">
        <v>5629</v>
      </c>
      <c r="B183" s="18" t="str">
        <f>'LIBERAÇÕES'!J33</f>
        <v>RODO-M37-JAN26-08 </v>
      </c>
      <c r="C183" s="19" t="s">
        <v>5630</v>
      </c>
      <c r="D183" s="16">
        <f>SUM(E186:E187)</f>
        <v>297</v>
      </c>
      <c r="E183" s="13" t="s">
        <v>5631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5" t="s">
        <v>5632</v>
      </c>
      <c r="B184" s="20">
        <f>'LIBERAÇÕES'!K33</f>
        <v>46087</v>
      </c>
      <c r="C184" s="21" t="s">
        <v>5633</v>
      </c>
      <c r="D184" s="22">
        <f>D182-D183</f>
        <v>-171</v>
      </c>
      <c r="E184" s="17">
        <f>'LIBERAÇÕES'!H33</f>
        <v>636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23" t="s">
        <v>1</v>
      </c>
      <c r="B185" s="23" t="s">
        <v>5634</v>
      </c>
      <c r="C185" s="23" t="s">
        <v>5635</v>
      </c>
      <c r="D185" s="23" t="s">
        <v>5636</v>
      </c>
      <c r="E185" s="24" t="s">
        <v>5637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25" t="s">
        <v>37</v>
      </c>
      <c r="B186" s="124" t="s">
        <v>5956</v>
      </c>
      <c r="C186" s="25" t="s">
        <v>10</v>
      </c>
      <c r="D186" s="125">
        <v>570.0</v>
      </c>
      <c r="E186" s="124">
        <v>150.0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25" t="s">
        <v>37</v>
      </c>
      <c r="B187" s="124" t="s">
        <v>5957</v>
      </c>
      <c r="C187" s="25" t="s">
        <v>10</v>
      </c>
      <c r="D187" s="125">
        <v>600.0</v>
      </c>
      <c r="E187" s="124">
        <v>147.0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26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8"/>
      <c r="X188" s="5"/>
      <c r="Y188" s="5"/>
      <c r="Z188" s="5"/>
    </row>
    <row r="189" ht="14.25" customHeight="1">
      <c r="A189" s="7" t="s">
        <v>5621</v>
      </c>
      <c r="B189" s="8" t="str">
        <f>'LIBERAÇÕES'!E50</f>
        <v>LUCAS DO RIO VERDE-MT</v>
      </c>
      <c r="C189" s="7" t="s">
        <v>5622</v>
      </c>
      <c r="D189" s="12" t="str">
        <f>'LIBERAÇÕES'!F50</f>
        <v>ALG COTTON JORGE</v>
      </c>
      <c r="E189" s="10">
        <f>'LIBERAÇÕES'!L50</f>
        <v>-49</v>
      </c>
      <c r="F189" s="11" t="s">
        <v>5623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7" t="s">
        <v>5624</v>
      </c>
      <c r="B190" s="8" t="str">
        <f>'LIBERAÇÕES'!G50</f>
        <v>CUBATAO-SP</v>
      </c>
      <c r="C190" s="7" t="s">
        <v>5625</v>
      </c>
      <c r="D190" s="12" t="str">
        <f>'LIBERAÇÕES'!M50</f>
        <v>ISIS</v>
      </c>
      <c r="E190" s="13" t="s">
        <v>5626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5" t="s">
        <v>5627</v>
      </c>
      <c r="B191" s="12" t="str">
        <f>'LIBERAÇÕES'!C50</f>
        <v>COFCO</v>
      </c>
      <c r="C191" s="15" t="s">
        <v>5628</v>
      </c>
      <c r="D191" s="16">
        <f>'LIBERAÇÕES'!I50</f>
        <v>33</v>
      </c>
      <c r="E191" s="17" t="str">
        <f>'LIBERAÇÕES'!N50</f>
        <v>FARDINHO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5" t="s">
        <v>5629</v>
      </c>
      <c r="B192" s="18" t="str">
        <f>'LIBERAÇÕES'!J50</f>
        <v> S07479-MAR-A-03 </v>
      </c>
      <c r="C192" s="19" t="s">
        <v>5630</v>
      </c>
      <c r="D192" s="16">
        <f>SUM(E196)</f>
        <v>0</v>
      </c>
      <c r="E192" s="13" t="s">
        <v>5631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5" t="s">
        <v>5632</v>
      </c>
      <c r="B193" s="20">
        <f>'LIBERAÇÕES'!K50</f>
        <v>46093</v>
      </c>
      <c r="C193" s="21" t="s">
        <v>5633</v>
      </c>
      <c r="D193" s="22">
        <f>D191-D192</f>
        <v>33</v>
      </c>
      <c r="E193" s="17">
        <f>'LIBERAÇÕES'!H50</f>
        <v>727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23" t="s">
        <v>1</v>
      </c>
      <c r="B194" s="23" t="s">
        <v>5634</v>
      </c>
      <c r="C194" s="23" t="s">
        <v>5635</v>
      </c>
      <c r="D194" s="23" t="s">
        <v>5636</v>
      </c>
      <c r="E194" s="24" t="s">
        <v>5637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25"/>
      <c r="B195" s="36"/>
      <c r="C195" s="34"/>
      <c r="D195" s="35"/>
      <c r="E195" s="1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25"/>
      <c r="B196" s="36"/>
      <c r="C196" s="34"/>
      <c r="D196" s="35"/>
      <c r="E196" s="12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26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8"/>
      <c r="X197" s="5"/>
      <c r="Y197" s="5"/>
      <c r="Z197" s="5"/>
    </row>
    <row r="198" ht="14.25" customHeight="1">
      <c r="A198" s="7" t="s">
        <v>5621</v>
      </c>
      <c r="B198" s="8" t="str">
        <f>'LIBERAÇÕES'!E51</f>
        <v>LUCAS DO RIO VERDE-MT</v>
      </c>
      <c r="C198" s="7" t="s">
        <v>5622</v>
      </c>
      <c r="D198" s="12" t="str">
        <f>'LIBERAÇÕES'!F51</f>
        <v>ALG S COTTON</v>
      </c>
      <c r="E198" s="10">
        <f>'LIBERAÇÕES'!L51</f>
        <v>-49</v>
      </c>
      <c r="F198" s="11" t="s">
        <v>5623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7" t="s">
        <v>5624</v>
      </c>
      <c r="B199" s="8" t="str">
        <f>'LIBERAÇÕES'!G51</f>
        <v>CUBATAO-SP</v>
      </c>
      <c r="C199" s="7" t="s">
        <v>5625</v>
      </c>
      <c r="D199" s="12" t="str">
        <f>'LIBERAÇÕES'!M51</f>
        <v>ISIS</v>
      </c>
      <c r="E199" s="13" t="s">
        <v>5626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5" t="s">
        <v>5627</v>
      </c>
      <c r="B200" s="12" t="str">
        <f>'LIBERAÇÕES'!C51</f>
        <v>COFCO</v>
      </c>
      <c r="C200" s="15" t="s">
        <v>5628</v>
      </c>
      <c r="D200" s="16">
        <f>'LIBERAÇÕES'!I51</f>
        <v>1382</v>
      </c>
      <c r="E200" s="17" t="str">
        <f>'LIBERAÇÕES'!N51</f>
        <v>FARDINHO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5" t="s">
        <v>5629</v>
      </c>
      <c r="B201" s="18" t="str">
        <f>'LIBERAÇÕES'!J51</f>
        <v> S07291-MÃE-JAN-01-B </v>
      </c>
      <c r="C201" s="19" t="s">
        <v>5630</v>
      </c>
      <c r="D201" s="16">
        <f>SUM(E204:E209)</f>
        <v>0</v>
      </c>
      <c r="E201" s="13" t="s">
        <v>5631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5" t="s">
        <v>5632</v>
      </c>
      <c r="B202" s="20">
        <f>'LIBERAÇÕES'!K51</f>
        <v>46093</v>
      </c>
      <c r="C202" s="21" t="s">
        <v>5633</v>
      </c>
      <c r="D202" s="22">
        <f>D200-D201</f>
        <v>1382</v>
      </c>
      <c r="E202" s="17">
        <f>'LIBERAÇÕES'!H51</f>
        <v>727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23" t="s">
        <v>1</v>
      </c>
      <c r="B203" s="23" t="s">
        <v>5634</v>
      </c>
      <c r="C203" s="23" t="s">
        <v>5635</v>
      </c>
      <c r="D203" s="23" t="s">
        <v>5636</v>
      </c>
      <c r="E203" s="24" t="s">
        <v>5637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25"/>
      <c r="B204" s="36"/>
      <c r="C204" s="34"/>
      <c r="D204" s="35"/>
      <c r="E204" s="12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25"/>
      <c r="B205" s="36"/>
      <c r="C205" s="34"/>
      <c r="D205" s="35"/>
      <c r="E205" s="12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25"/>
      <c r="B206" s="36"/>
      <c r="C206" s="34"/>
      <c r="D206" s="35"/>
      <c r="E206" s="12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25"/>
      <c r="B207" s="36"/>
      <c r="C207" s="34"/>
      <c r="D207" s="35"/>
      <c r="E207" s="12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25"/>
      <c r="B208" s="36"/>
      <c r="C208" s="34"/>
      <c r="D208" s="35"/>
      <c r="E208" s="12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25"/>
      <c r="B209" s="36"/>
      <c r="C209" s="34"/>
      <c r="D209" s="35"/>
      <c r="E209" s="12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26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8"/>
      <c r="X210" s="5"/>
      <c r="Y210" s="5"/>
      <c r="Z210" s="5"/>
    </row>
    <row r="211" ht="14.25" customHeight="1">
      <c r="A211" s="7" t="s">
        <v>5621</v>
      </c>
      <c r="B211" s="8" t="str">
        <f>'LIBERAÇÕES'!E53</f>
        <v>LUCAS DO RIO VERDE-MT</v>
      </c>
      <c r="C211" s="7" t="s">
        <v>5622</v>
      </c>
      <c r="D211" s="12" t="str">
        <f>'LIBERAÇÕES'!F53</f>
        <v>ALG CT COTTON</v>
      </c>
      <c r="E211" s="10">
        <f>'LIBERAÇÕES'!L53</f>
        <v>-49</v>
      </c>
      <c r="F211" s="11" t="s">
        <v>5623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7" t="s">
        <v>5624</v>
      </c>
      <c r="B212" s="8" t="str">
        <f>'LIBERAÇÕES'!G53</f>
        <v>CUBATAO-SP</v>
      </c>
      <c r="C212" s="7" t="s">
        <v>5625</v>
      </c>
      <c r="D212" s="12" t="str">
        <f>'LIBERAÇÕES'!M53</f>
        <v>ISIS</v>
      </c>
      <c r="E212" s="13" t="s">
        <v>5626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5" t="s">
        <v>5627</v>
      </c>
      <c r="B213" s="12" t="str">
        <f>'LIBERAÇÕES'!C53</f>
        <v>COFCO</v>
      </c>
      <c r="C213" s="15" t="s">
        <v>5628</v>
      </c>
      <c r="D213" s="16">
        <f>'LIBERAÇÕES'!I53</f>
        <v>140</v>
      </c>
      <c r="E213" s="17" t="str">
        <f>'LIBERAÇÕES'!N53</f>
        <v>FARDINHO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5" t="s">
        <v>5629</v>
      </c>
      <c r="B214" s="18" t="str">
        <f>'LIBERAÇÕES'!J53</f>
        <v>S07291-MÃE-JAN-01-B </v>
      </c>
      <c r="C214" s="19" t="s">
        <v>5630</v>
      </c>
      <c r="D214" s="16">
        <f>SUM(E217)</f>
        <v>0</v>
      </c>
      <c r="E214" s="13" t="s">
        <v>5631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5" t="s">
        <v>5632</v>
      </c>
      <c r="B215" s="20">
        <f>'LIBERAÇÕES'!K53</f>
        <v>46093</v>
      </c>
      <c r="C215" s="21" t="s">
        <v>5633</v>
      </c>
      <c r="D215" s="22">
        <f>D213-D214</f>
        <v>140</v>
      </c>
      <c r="E215" s="17">
        <f>'LIBERAÇÕES'!H53</f>
        <v>727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23" t="s">
        <v>1</v>
      </c>
      <c r="B216" s="23" t="s">
        <v>5634</v>
      </c>
      <c r="C216" s="23" t="s">
        <v>5635</v>
      </c>
      <c r="D216" s="23" t="s">
        <v>5636</v>
      </c>
      <c r="E216" s="24" t="s">
        <v>5637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25"/>
      <c r="B217" s="36"/>
      <c r="C217" s="34"/>
      <c r="D217" s="35"/>
      <c r="E217" s="12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26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8"/>
      <c r="X218" s="5"/>
      <c r="Y218" s="5"/>
      <c r="Z218" s="5"/>
    </row>
    <row r="219" ht="14.25" customHeight="1">
      <c r="A219" s="7" t="s">
        <v>5621</v>
      </c>
      <c r="B219" s="8" t="str">
        <f>'LIBERAÇÕES'!E64</f>
        <v>LUCAS DO RIO VERDE-MT</v>
      </c>
      <c r="C219" s="7" t="s">
        <v>5622</v>
      </c>
      <c r="D219" s="12" t="str">
        <f>'LIBERAÇÕES'!F64</f>
        <v>ALG SANTO ANTONIO</v>
      </c>
      <c r="E219" s="10">
        <f>'LIBERAÇÕES'!L61</f>
        <v>-30</v>
      </c>
      <c r="F219" s="11" t="s">
        <v>5623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7" t="s">
        <v>5624</v>
      </c>
      <c r="B220" s="8" t="str">
        <f>'LIBERAÇÕES'!G65</f>
        <v>RONDONOPOLIS-MT</v>
      </c>
      <c r="C220" s="7" t="s">
        <v>5625</v>
      </c>
      <c r="D220" s="12" t="str">
        <f>'LIBERAÇÕES'!M63</f>
        <v>EISA</v>
      </c>
      <c r="E220" s="13" t="s">
        <v>5626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5" t="s">
        <v>5627</v>
      </c>
      <c r="B221" s="12" t="str">
        <f>'LIBERAÇÕES'!C64</f>
        <v>NUTRADE </v>
      </c>
      <c r="C221" s="15" t="s">
        <v>5628</v>
      </c>
      <c r="D221" s="16">
        <f>'LIBERAÇÕES'!I64</f>
        <v>487</v>
      </c>
      <c r="E221" s="17" t="str">
        <f>'LIBERAÇÕES'!N61</f>
        <v>FARDÃO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5" t="s">
        <v>5629</v>
      </c>
      <c r="B222" s="18" t="str">
        <f>'LIBERAÇÕES'!J64</f>
        <v>SIRON-EXP-3155257015-055-02A</v>
      </c>
      <c r="C222" s="19" t="s">
        <v>5630</v>
      </c>
      <c r="D222" s="16">
        <f>SUM(E225:E231)</f>
        <v>487</v>
      </c>
      <c r="E222" s="13" t="s">
        <v>5631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5" t="s">
        <v>5632</v>
      </c>
      <c r="B223" s="20">
        <f>'LIBERAÇÕES'!K64</f>
        <v>46112</v>
      </c>
      <c r="C223" s="21" t="s">
        <v>5633</v>
      </c>
      <c r="D223" s="22">
        <f>D221-D222</f>
        <v>0</v>
      </c>
      <c r="E223" s="1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23" t="s">
        <v>1</v>
      </c>
      <c r="B224" s="23" t="s">
        <v>5634</v>
      </c>
      <c r="C224" s="23" t="s">
        <v>5635</v>
      </c>
      <c r="D224" s="23" t="s">
        <v>5636</v>
      </c>
      <c r="E224" s="24" t="s">
        <v>5637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25" t="s">
        <v>13</v>
      </c>
      <c r="B225" s="124" t="s">
        <v>5958</v>
      </c>
      <c r="C225" s="25" t="s">
        <v>10</v>
      </c>
      <c r="D225" s="125">
        <v>210.0</v>
      </c>
      <c r="E225" s="136">
        <v>120.0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25"/>
      <c r="B226" s="124"/>
      <c r="C226" s="25"/>
      <c r="D226" s="125"/>
      <c r="E226" s="136">
        <v>140.0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25"/>
      <c r="B227" s="36"/>
      <c r="C227" s="34"/>
      <c r="D227" s="35"/>
      <c r="E227" s="136">
        <v>120.0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25"/>
      <c r="B228" s="36"/>
      <c r="C228" s="34"/>
      <c r="D228" s="35"/>
      <c r="E228" s="136">
        <v>107.0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25"/>
      <c r="B229" s="36"/>
      <c r="C229" s="34"/>
      <c r="D229" s="35"/>
      <c r="E229" s="1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25"/>
      <c r="B230" s="36"/>
      <c r="C230" s="34"/>
      <c r="D230" s="35"/>
      <c r="E230" s="1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25"/>
      <c r="B231" s="36"/>
      <c r="C231" s="34"/>
      <c r="D231" s="35"/>
      <c r="E231" s="12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26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8"/>
      <c r="X232" s="5"/>
      <c r="Y232" s="5"/>
      <c r="Z232" s="5"/>
    </row>
    <row r="233" ht="14.25" customHeight="1">
      <c r="A233" s="7" t="s">
        <v>5621</v>
      </c>
      <c r="B233" s="8" t="str">
        <f>'LIBERAÇÕES'!E70</f>
        <v>LUCAS DO RIO VERDE-MT</v>
      </c>
      <c r="C233" s="7" t="s">
        <v>5622</v>
      </c>
      <c r="D233" s="12" t="str">
        <f>'LIBERAÇÕES'!F70</f>
        <v>ALG S COTTON</v>
      </c>
      <c r="E233" s="10" t="str">
        <f>'LIBERAÇÕES'!L90</f>
        <v/>
      </c>
      <c r="F233" s="11" t="s">
        <v>5623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7" t="s">
        <v>5624</v>
      </c>
      <c r="B234" s="8" t="str">
        <f>'LIBERAÇÕES'!G70</f>
        <v>RONDONOPOLIS-MT</v>
      </c>
      <c r="C234" s="7" t="s">
        <v>5625</v>
      </c>
      <c r="D234" s="12" t="str">
        <f>'LIBERAÇÕES'!M70</f>
        <v>TBM LOG</v>
      </c>
      <c r="E234" s="13" t="s">
        <v>5626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5" t="s">
        <v>5627</v>
      </c>
      <c r="B235" s="12" t="str">
        <f>'LIBERAÇÕES'!C70</f>
        <v>COFCO</v>
      </c>
      <c r="C235" s="15" t="s">
        <v>5628</v>
      </c>
      <c r="D235" s="16">
        <f>'LIBERAÇÕES'!I70</f>
        <v>532</v>
      </c>
      <c r="E235" s="17" t="str">
        <f>'LIBERAÇÕES'!N90</f>
        <v/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5" t="s">
        <v>5629</v>
      </c>
      <c r="B236" s="18" t="str">
        <f>'LIBERAÇÕES'!J70</f>
        <v>WH-TBM-MAR26-06 </v>
      </c>
      <c r="C236" s="19" t="s">
        <v>5630</v>
      </c>
      <c r="D236" s="16">
        <f>SUM(E239:E241)</f>
        <v>532</v>
      </c>
      <c r="E236" s="13" t="s">
        <v>5631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5" t="s">
        <v>5632</v>
      </c>
      <c r="B237" s="20" t="str">
        <f>'LIBERAÇÕES'!K93</f>
        <v/>
      </c>
      <c r="C237" s="21" t="s">
        <v>5633</v>
      </c>
      <c r="D237" s="22">
        <f>D235-D236</f>
        <v>0</v>
      </c>
      <c r="E237" s="17">
        <f>'LIBERAÇÕES'!H70</f>
        <v>240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23" t="s">
        <v>1</v>
      </c>
      <c r="B238" s="23" t="s">
        <v>5634</v>
      </c>
      <c r="C238" s="23" t="s">
        <v>5635</v>
      </c>
      <c r="D238" s="23" t="s">
        <v>5636</v>
      </c>
      <c r="E238" s="24" t="s">
        <v>5637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25" t="s">
        <v>37</v>
      </c>
      <c r="B239" s="124" t="s">
        <v>5959</v>
      </c>
      <c r="C239" s="25" t="s">
        <v>26</v>
      </c>
      <c r="D239" s="125">
        <v>200.0</v>
      </c>
      <c r="E239" s="136">
        <v>157.0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25" t="s">
        <v>37</v>
      </c>
      <c r="B240" s="124" t="s">
        <v>5960</v>
      </c>
      <c r="C240" s="25" t="s">
        <v>6</v>
      </c>
      <c r="D240" s="125">
        <v>200.0</v>
      </c>
      <c r="E240" s="136">
        <v>157.0</v>
      </c>
      <c r="F240" s="14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25" t="s">
        <v>21</v>
      </c>
      <c r="B241" s="124" t="s">
        <v>5961</v>
      </c>
      <c r="C241" s="25" t="s">
        <v>34</v>
      </c>
      <c r="D241" s="125">
        <v>210.0</v>
      </c>
      <c r="E241" s="136">
        <v>218.0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26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8"/>
      <c r="X242" s="5"/>
      <c r="Y242" s="5"/>
      <c r="Z242" s="5"/>
    </row>
    <row r="243" ht="14.25" customHeight="1">
      <c r="A243" s="7" t="s">
        <v>5621</v>
      </c>
      <c r="B243" s="8" t="str">
        <f>'LIBERAÇÕES'!D72</f>
        <v>LUCAS DO RIO VERDE-MT</v>
      </c>
      <c r="C243" s="7" t="s">
        <v>5622</v>
      </c>
      <c r="D243" s="12" t="str">
        <f>'LIBERAÇÕES'!F72</f>
        <v>ALG RIO VERDE</v>
      </c>
      <c r="E243" s="10" t="str">
        <f>'LIBERAÇÕES'!L104</f>
        <v/>
      </c>
      <c r="F243" s="11" t="s">
        <v>5623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7" t="s">
        <v>5624</v>
      </c>
      <c r="B244" s="8" t="str">
        <f>'LIBERAÇÕES'!G72</f>
        <v>SANTOS-SP</v>
      </c>
      <c r="C244" s="7" t="s">
        <v>5625</v>
      </c>
      <c r="D244" s="12" t="str">
        <f>'LIBERAÇÕES'!M72</f>
        <v>SMAGALHÃES</v>
      </c>
      <c r="E244" s="13" t="s">
        <v>5626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5" t="s">
        <v>5627</v>
      </c>
      <c r="B245" s="12" t="str">
        <f>'LIBERAÇÕES'!C72</f>
        <v>BOA ESPERANÇA</v>
      </c>
      <c r="C245" s="15" t="s">
        <v>5628</v>
      </c>
      <c r="D245" s="16">
        <f>'LIBERAÇÕES'!I72</f>
        <v>560</v>
      </c>
      <c r="E245" s="17" t="str">
        <f>'LIBERAÇÕES'!N104</f>
        <v/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5" t="s">
        <v>5629</v>
      </c>
      <c r="B246" s="18" t="str">
        <f>'LIBERAÇÕES'!J72</f>
        <v>EBKG16354766</v>
      </c>
      <c r="C246" s="19" t="s">
        <v>5630</v>
      </c>
      <c r="D246" s="16">
        <f>SUM(E249:E251)</f>
        <v>560</v>
      </c>
      <c r="E246" s="13" t="s">
        <v>5631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5" t="s">
        <v>5632</v>
      </c>
      <c r="B247" s="20">
        <f>'LIBERAÇÕES'!K72</f>
        <v>46128</v>
      </c>
      <c r="C247" s="21" t="s">
        <v>5633</v>
      </c>
      <c r="D247" s="22">
        <f>D245-D246</f>
        <v>0</v>
      </c>
      <c r="E247" s="17" t="str">
        <f>'LIBERAÇÕES'!H95</f>
        <v/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23" t="s">
        <v>1</v>
      </c>
      <c r="B248" s="23" t="s">
        <v>5634</v>
      </c>
      <c r="C248" s="23" t="s">
        <v>5635</v>
      </c>
      <c r="D248" s="23" t="s">
        <v>5636</v>
      </c>
      <c r="E248" s="24" t="s">
        <v>5637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25" t="s">
        <v>37</v>
      </c>
      <c r="B249" s="124" t="s">
        <v>5962</v>
      </c>
      <c r="C249" s="25" t="s">
        <v>30</v>
      </c>
      <c r="D249" s="125">
        <v>590.0</v>
      </c>
      <c r="E249" s="136">
        <v>172.0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25" t="s">
        <v>37</v>
      </c>
      <c r="B250" s="124" t="s">
        <v>5963</v>
      </c>
      <c r="C250" s="25" t="s">
        <v>34</v>
      </c>
      <c r="D250" s="125">
        <v>585.0</v>
      </c>
      <c r="E250" s="136">
        <v>220.0</v>
      </c>
      <c r="F250" s="148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25" t="s">
        <v>37</v>
      </c>
      <c r="B251" s="124" t="s">
        <v>5964</v>
      </c>
      <c r="C251" s="25" t="s">
        <v>30</v>
      </c>
      <c r="D251" s="125">
        <v>580.0</v>
      </c>
      <c r="E251" s="136">
        <v>168.0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26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8"/>
      <c r="X252" s="5"/>
      <c r="Y252" s="5"/>
      <c r="Z252" s="5"/>
    </row>
    <row r="253" ht="14.25" customHeight="1">
      <c r="A253" s="7" t="s">
        <v>5621</v>
      </c>
      <c r="B253" s="8" t="str">
        <f>'LIBERAÇÕES'!E73</f>
        <v>TAPURAH-MT</v>
      </c>
      <c r="C253" s="7" t="s">
        <v>5622</v>
      </c>
      <c r="D253" s="12" t="str">
        <f>'LIBERAÇÕES'!F73</f>
        <v>ALG ELDORADO</v>
      </c>
      <c r="E253" s="10" t="str">
        <f>'LIBERAÇÕES'!L118</f>
        <v/>
      </c>
      <c r="F253" s="11" t="s">
        <v>5623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7" t="s">
        <v>5624</v>
      </c>
      <c r="B254" s="8" t="str">
        <f>'LIBERAÇÕES'!G73</f>
        <v>SANTOS-SP</v>
      </c>
      <c r="C254" s="7" t="s">
        <v>5625</v>
      </c>
      <c r="D254" s="12" t="str">
        <f>'LIBERAÇÕES'!M73</f>
        <v>SMAGALHÃES</v>
      </c>
      <c r="E254" s="13" t="s">
        <v>5626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5" t="s">
        <v>5627</v>
      </c>
      <c r="B255" s="12" t="str">
        <f>'LIBERAÇÕES'!C73</f>
        <v>BOA ESPERANÇA</v>
      </c>
      <c r="C255" s="15" t="s">
        <v>5628</v>
      </c>
      <c r="D255" s="16">
        <f>'LIBERAÇÕES'!I73</f>
        <v>572</v>
      </c>
      <c r="E255" s="17" t="str">
        <f>'LIBERAÇÕES'!N118</f>
        <v/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5" t="s">
        <v>5629</v>
      </c>
      <c r="B256" s="18" t="str">
        <f>'LIBERAÇÕES'!J73</f>
        <v>EBKG16354766</v>
      </c>
      <c r="C256" s="19" t="s">
        <v>5630</v>
      </c>
      <c r="D256" s="16">
        <f>SUM(E259:E261)</f>
        <v>572</v>
      </c>
      <c r="E256" s="13" t="s">
        <v>5631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5" t="s">
        <v>5632</v>
      </c>
      <c r="B257" s="20">
        <f>'LIBERAÇÕES'!K73</f>
        <v>46128</v>
      </c>
      <c r="C257" s="21" t="s">
        <v>5633</v>
      </c>
      <c r="D257" s="22">
        <f>D255-D256</f>
        <v>0</v>
      </c>
      <c r="E257" s="17" t="str">
        <f>'LIBERAÇÕES'!H109</f>
        <v/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23" t="s">
        <v>1</v>
      </c>
      <c r="B258" s="23" t="s">
        <v>5634</v>
      </c>
      <c r="C258" s="23" t="s">
        <v>5635</v>
      </c>
      <c r="D258" s="23" t="s">
        <v>5636</v>
      </c>
      <c r="E258" s="24" t="s">
        <v>5637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25" t="s">
        <v>37</v>
      </c>
      <c r="B259" s="124" t="s">
        <v>5965</v>
      </c>
      <c r="C259" s="25" t="s">
        <v>30</v>
      </c>
      <c r="D259" s="125">
        <v>580.0</v>
      </c>
      <c r="E259" s="136">
        <v>170.0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25" t="s">
        <v>37</v>
      </c>
      <c r="B260" s="124" t="s">
        <v>5966</v>
      </c>
      <c r="C260" s="25" t="s">
        <v>34</v>
      </c>
      <c r="D260" s="125">
        <v>26000.0</v>
      </c>
      <c r="E260" s="136">
        <v>226.0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25" t="s">
        <v>37</v>
      </c>
      <c r="B261" s="124" t="s">
        <v>5967</v>
      </c>
      <c r="C261" s="25" t="s">
        <v>30</v>
      </c>
      <c r="D261" s="125">
        <v>590.0</v>
      </c>
      <c r="E261" s="136">
        <v>176.0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26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8"/>
      <c r="X262" s="5"/>
      <c r="Y262" s="5"/>
      <c r="Z262" s="5"/>
    </row>
    <row r="263" ht="14.25" customHeight="1">
      <c r="A263" s="7" t="s">
        <v>5621</v>
      </c>
      <c r="B263" s="8" t="str">
        <f>'LIBERAÇÕES'!E80</f>
        <v>LUCAS DO RIO VERDE-MT</v>
      </c>
      <c r="C263" s="7" t="s">
        <v>5622</v>
      </c>
      <c r="D263" s="12" t="str">
        <f>'LIBERAÇÕES'!F80</f>
        <v>ALG RIO VERDE</v>
      </c>
      <c r="E263" s="10" t="str">
        <f>'LIBERAÇÕES'!L128</f>
        <v/>
      </c>
      <c r="F263" s="11" t="s">
        <v>5623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7" t="s">
        <v>5624</v>
      </c>
      <c r="B264" s="8" t="str">
        <f>'LIBERAÇÕES'!G80</f>
        <v>CUBATAO-SP</v>
      </c>
      <c r="C264" s="7" t="s">
        <v>5625</v>
      </c>
      <c r="D264" s="12" t="str">
        <f>'LIBERAÇÕES'!M80</f>
        <v>DEPOTCE</v>
      </c>
      <c r="E264" s="13" t="s">
        <v>5626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5" t="s">
        <v>5627</v>
      </c>
      <c r="B265" s="12" t="str">
        <f>'LIBERAÇÕES'!C80</f>
        <v>BOA ESPERANÇA</v>
      </c>
      <c r="C265" s="15" t="s">
        <v>5628</v>
      </c>
      <c r="D265" s="16">
        <f>'LIBERAÇÕES'!I80</f>
        <v>471</v>
      </c>
      <c r="E265" s="17" t="str">
        <f>'LIBERAÇÕES'!N128</f>
        <v/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5" t="s">
        <v>5629</v>
      </c>
      <c r="B266" s="18" t="str">
        <f>'LIBERAÇÕES'!J80</f>
        <v>S51626.A03</v>
      </c>
      <c r="C266" s="19" t="s">
        <v>5630</v>
      </c>
      <c r="D266" s="16">
        <f>SUM(E269:E271)</f>
        <v>471</v>
      </c>
      <c r="E266" s="13" t="s">
        <v>5631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5" t="s">
        <v>5632</v>
      </c>
      <c r="B267" s="20">
        <f>'LIBERAÇÕES'!K80</f>
        <v>46137</v>
      </c>
      <c r="C267" s="21" t="s">
        <v>5633</v>
      </c>
      <c r="D267" s="22">
        <f>D265-D266</f>
        <v>0</v>
      </c>
      <c r="E267" s="17">
        <f>'LIBERAÇÕES'!H80</f>
        <v>610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23" t="s">
        <v>1</v>
      </c>
      <c r="B268" s="23" t="s">
        <v>5634</v>
      </c>
      <c r="C268" s="23" t="s">
        <v>5635</v>
      </c>
      <c r="D268" s="23" t="s">
        <v>5636</v>
      </c>
      <c r="E268" s="24" t="s">
        <v>5637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25" t="s">
        <v>37</v>
      </c>
      <c r="B269" s="149" t="s">
        <v>5968</v>
      </c>
      <c r="C269" s="25" t="s">
        <v>30</v>
      </c>
      <c r="D269" s="125">
        <v>560.0</v>
      </c>
      <c r="E269" s="136">
        <v>162.0</v>
      </c>
      <c r="F269" s="130" t="s">
        <v>5969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25" t="s">
        <v>37</v>
      </c>
      <c r="B270" s="149" t="s">
        <v>5970</v>
      </c>
      <c r="C270" s="25" t="s">
        <v>22</v>
      </c>
      <c r="D270" s="125">
        <v>570.0</v>
      </c>
      <c r="E270" s="136">
        <v>160.0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25" t="s">
        <v>37</v>
      </c>
      <c r="B271" s="149" t="s">
        <v>5971</v>
      </c>
      <c r="C271" s="25" t="s">
        <v>10</v>
      </c>
      <c r="D271" s="125">
        <v>560.0</v>
      </c>
      <c r="E271" s="136">
        <v>149.0</v>
      </c>
      <c r="F271" s="148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50">
        <v>0.0</v>
      </c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8"/>
      <c r="X272" s="5"/>
      <c r="Y272" s="5"/>
      <c r="Z272" s="5"/>
    </row>
    <row r="273" ht="14.25" customHeight="1">
      <c r="A273" s="7" t="s">
        <v>5621</v>
      </c>
      <c r="B273" s="8" t="str">
        <f>'LIBERAÇÕES'!E83</f>
        <v>LUCAS DO RIO VERDE-MT</v>
      </c>
      <c r="C273" s="7" t="s">
        <v>5622</v>
      </c>
      <c r="D273" s="12" t="str">
        <f>'LIBERAÇÕES'!F83</f>
        <v>ALG RIO VERDE</v>
      </c>
      <c r="E273" s="10" t="str">
        <f>'LIBERAÇÕES'!L138</f>
        <v/>
      </c>
      <c r="F273" s="11" t="s">
        <v>5623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7" t="s">
        <v>5624</v>
      </c>
      <c r="B274" s="8" t="str">
        <f>'LIBERAÇÕES'!G83</f>
        <v>GUARUJA-SP</v>
      </c>
      <c r="C274" s="7" t="s">
        <v>5625</v>
      </c>
      <c r="D274" s="12" t="str">
        <f>'LIBERAÇÕES'!M83</f>
        <v>MOVECTA</v>
      </c>
      <c r="E274" s="13" t="s">
        <v>5626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5" t="s">
        <v>5627</v>
      </c>
      <c r="B275" s="12" t="str">
        <f>'LIBERAÇÕES'!C83</f>
        <v>BOA ESPERANÇA</v>
      </c>
      <c r="C275" s="15" t="s">
        <v>5628</v>
      </c>
      <c r="D275" s="16">
        <f>'LIBERAÇÕES'!I83</f>
        <v>1071</v>
      </c>
      <c r="E275" s="17" t="str">
        <f>'LIBERAÇÕES'!N138</f>
        <v/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5" t="s">
        <v>5629</v>
      </c>
      <c r="B276" s="18">
        <f>'LIBERAÇÕES'!J83</f>
        <v>29616</v>
      </c>
      <c r="C276" s="19" t="s">
        <v>5630</v>
      </c>
      <c r="D276" s="16">
        <f>E279+E280+E281+E282+E283+E284</f>
        <v>1053</v>
      </c>
      <c r="E276" s="13" t="s">
        <v>5631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5" t="s">
        <v>5632</v>
      </c>
      <c r="B277" s="20">
        <f>'LIBERAÇÕES'!K83</f>
        <v>46134</v>
      </c>
      <c r="C277" s="21" t="s">
        <v>5633</v>
      </c>
      <c r="D277" s="22">
        <f>D275-D276</f>
        <v>18</v>
      </c>
      <c r="E277" s="17">
        <f>'LIBERAÇÕES'!H83</f>
        <v>610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23" t="s">
        <v>1</v>
      </c>
      <c r="B278" s="23" t="s">
        <v>5634</v>
      </c>
      <c r="C278" s="23" t="s">
        <v>5635</v>
      </c>
      <c r="D278" s="23" t="s">
        <v>5636</v>
      </c>
      <c r="E278" s="24" t="s">
        <v>5637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25" t="s">
        <v>37</v>
      </c>
      <c r="B279" s="149" t="s">
        <v>5972</v>
      </c>
      <c r="C279" s="25" t="s">
        <v>10</v>
      </c>
      <c r="D279" s="125">
        <v>570.0</v>
      </c>
      <c r="E279" s="136">
        <v>160.0</v>
      </c>
      <c r="F279" s="130" t="s">
        <v>5973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25" t="s">
        <v>37</v>
      </c>
      <c r="B280" s="149" t="s">
        <v>5974</v>
      </c>
      <c r="C280" s="25" t="s">
        <v>22</v>
      </c>
      <c r="D280" s="125">
        <v>570.0</v>
      </c>
      <c r="E280" s="136">
        <v>160.0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25" t="s">
        <v>37</v>
      </c>
      <c r="B281" s="149" t="s">
        <v>5975</v>
      </c>
      <c r="C281" s="25" t="s">
        <v>10</v>
      </c>
      <c r="D281" s="125">
        <v>560.0</v>
      </c>
      <c r="E281" s="136">
        <v>150.0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25" t="s">
        <v>37</v>
      </c>
      <c r="B282" s="149" t="s">
        <v>5976</v>
      </c>
      <c r="C282" s="25" t="s">
        <v>34</v>
      </c>
      <c r="D282" s="125">
        <v>570.0</v>
      </c>
      <c r="E282" s="136">
        <v>225.0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25" t="s">
        <v>37</v>
      </c>
      <c r="B283" s="149" t="s">
        <v>5977</v>
      </c>
      <c r="C283" s="25" t="s">
        <v>10</v>
      </c>
      <c r="D283" s="125">
        <v>560.0</v>
      </c>
      <c r="E283" s="136">
        <v>150.0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25" t="s">
        <v>37</v>
      </c>
      <c r="B284" s="149" t="s">
        <v>5978</v>
      </c>
      <c r="C284" s="25" t="s">
        <v>34</v>
      </c>
      <c r="D284" s="125">
        <v>580.0</v>
      </c>
      <c r="E284" s="136">
        <v>208.0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25"/>
      <c r="B285" s="124"/>
      <c r="C285" s="25"/>
      <c r="D285" s="125"/>
      <c r="E285" s="1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33"/>
      <c r="B287" s="133"/>
      <c r="C287" s="133"/>
      <c r="D287" s="133"/>
      <c r="E287" s="133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7" t="s">
        <v>5621</v>
      </c>
      <c r="B288" s="8" t="s">
        <v>5979</v>
      </c>
      <c r="C288" s="7" t="s">
        <v>5622</v>
      </c>
      <c r="D288" s="12" t="s">
        <v>5980</v>
      </c>
      <c r="E288" s="10" t="str">
        <f>'LIBERAÇÕES'!L296</f>
        <v/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7" t="s">
        <v>5624</v>
      </c>
      <c r="B289" s="8" t="s">
        <v>5981</v>
      </c>
      <c r="C289" s="7" t="s">
        <v>5625</v>
      </c>
      <c r="D289" s="12" t="s">
        <v>5693</v>
      </c>
      <c r="E289" s="13" t="s">
        <v>5626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5" t="s">
        <v>5627</v>
      </c>
      <c r="B290" s="12" t="s">
        <v>5982</v>
      </c>
      <c r="C290" s="15" t="s">
        <v>5628</v>
      </c>
      <c r="D290" s="123">
        <v>300.0</v>
      </c>
      <c r="E290" s="134" t="s">
        <v>5656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5" t="s">
        <v>5629</v>
      </c>
      <c r="B291" s="12" t="s">
        <v>5983</v>
      </c>
      <c r="C291" s="19" t="s">
        <v>5630</v>
      </c>
      <c r="D291" s="16">
        <f>SUM(E294:E299)</f>
        <v>300</v>
      </c>
      <c r="E291" s="13" t="s">
        <v>5631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5" t="s">
        <v>5632</v>
      </c>
      <c r="B292" s="151">
        <v>46153.0</v>
      </c>
      <c r="C292" s="21" t="s">
        <v>5633</v>
      </c>
      <c r="D292" s="22">
        <f>D290-D291</f>
        <v>0</v>
      </c>
      <c r="E292" s="134">
        <v>976.0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23" t="s">
        <v>1</v>
      </c>
      <c r="B293" s="23" t="s">
        <v>5634</v>
      </c>
      <c r="C293" s="23" t="s">
        <v>5635</v>
      </c>
      <c r="D293" s="23" t="s">
        <v>5636</v>
      </c>
      <c r="E293" s="24" t="s">
        <v>5637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25" t="s">
        <v>25</v>
      </c>
      <c r="B294" s="124"/>
      <c r="C294" s="25" t="s">
        <v>6</v>
      </c>
      <c r="D294" s="125"/>
      <c r="E294" s="136">
        <v>150.0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25" t="s">
        <v>25</v>
      </c>
      <c r="B295" s="124"/>
      <c r="C295" s="25" t="s">
        <v>6</v>
      </c>
      <c r="D295" s="125"/>
      <c r="E295" s="136">
        <v>150.0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25"/>
      <c r="B296" s="124"/>
      <c r="C296" s="25"/>
      <c r="D296" s="125"/>
      <c r="E296" s="1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25"/>
      <c r="B297" s="124"/>
      <c r="C297" s="25"/>
      <c r="D297" s="125"/>
      <c r="E297" s="1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25"/>
      <c r="B298" s="124"/>
      <c r="C298" s="25"/>
      <c r="D298" s="125"/>
      <c r="E298" s="1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25"/>
      <c r="B299" s="124"/>
      <c r="C299" s="25"/>
      <c r="D299" s="125"/>
      <c r="E299" s="12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33"/>
      <c r="B300" s="133"/>
      <c r="C300" s="133"/>
      <c r="D300" s="133"/>
      <c r="E300" s="133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7" t="s">
        <v>5621</v>
      </c>
      <c r="B301" s="8" t="s">
        <v>5979</v>
      </c>
      <c r="C301" s="7" t="s">
        <v>5622</v>
      </c>
      <c r="D301" s="12" t="s">
        <v>5984</v>
      </c>
      <c r="E301" s="10" t="str">
        <f>'LIBERAÇÕES'!L309</f>
        <v/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7" t="s">
        <v>5624</v>
      </c>
      <c r="B302" s="8" t="s">
        <v>5877</v>
      </c>
      <c r="C302" s="7" t="s">
        <v>5625</v>
      </c>
      <c r="D302" s="12" t="s">
        <v>5774</v>
      </c>
      <c r="E302" s="13" t="s">
        <v>5626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5" t="s">
        <v>5627</v>
      </c>
      <c r="B303" s="12" t="s">
        <v>12</v>
      </c>
      <c r="C303" s="15" t="s">
        <v>5628</v>
      </c>
      <c r="D303" s="123">
        <v>420.0</v>
      </c>
      <c r="E303" s="134" t="s">
        <v>5666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5" t="s">
        <v>5629</v>
      </c>
      <c r="B304" s="12" t="s">
        <v>5878</v>
      </c>
      <c r="C304" s="19" t="s">
        <v>5630</v>
      </c>
      <c r="D304" s="16">
        <f>SUM(E307:E312)</f>
        <v>0</v>
      </c>
      <c r="E304" s="13" t="s">
        <v>5631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5" t="s">
        <v>5632</v>
      </c>
      <c r="B305" s="12" t="s">
        <v>5879</v>
      </c>
      <c r="C305" s="21" t="s">
        <v>5633</v>
      </c>
      <c r="D305" s="22">
        <f>D303-D304</f>
        <v>420</v>
      </c>
      <c r="E305" s="134">
        <v>595.0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23" t="s">
        <v>1</v>
      </c>
      <c r="B306" s="23" t="s">
        <v>5634</v>
      </c>
      <c r="C306" s="23" t="s">
        <v>5635</v>
      </c>
      <c r="D306" s="23" t="s">
        <v>5636</v>
      </c>
      <c r="E306" s="24" t="s">
        <v>5637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25"/>
      <c r="B307" s="135"/>
      <c r="C307" s="25"/>
      <c r="D307" s="125"/>
      <c r="E307" s="1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25"/>
      <c r="B308" s="124"/>
      <c r="C308" s="25"/>
      <c r="D308" s="125"/>
      <c r="E308" s="1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25"/>
      <c r="B309" s="124"/>
      <c r="C309" s="25"/>
      <c r="D309" s="125"/>
      <c r="E309" s="1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25"/>
      <c r="B310" s="124"/>
      <c r="C310" s="25"/>
      <c r="D310" s="125"/>
      <c r="E310" s="1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25"/>
      <c r="B311" s="124"/>
      <c r="C311" s="25"/>
      <c r="D311" s="125"/>
      <c r="E311" s="1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25"/>
      <c r="B312" s="124"/>
      <c r="C312" s="25"/>
      <c r="D312" s="125"/>
      <c r="E312" s="12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33"/>
      <c r="B313" s="133"/>
      <c r="C313" s="133"/>
      <c r="D313" s="133"/>
      <c r="E313" s="133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7" t="s">
        <v>5621</v>
      </c>
      <c r="B314" s="8" t="s">
        <v>5985</v>
      </c>
      <c r="C314" s="7" t="s">
        <v>5622</v>
      </c>
      <c r="D314" s="12" t="s">
        <v>5986</v>
      </c>
      <c r="E314" s="10" t="str">
        <f>'LIBERAÇÕES'!L322</f>
        <v/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7" t="s">
        <v>5624</v>
      </c>
      <c r="B315" s="8" t="s">
        <v>5877</v>
      </c>
      <c r="C315" s="7" t="s">
        <v>5625</v>
      </c>
      <c r="D315" s="12" t="s">
        <v>5774</v>
      </c>
      <c r="E315" s="13" t="s">
        <v>5626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5" t="s">
        <v>5627</v>
      </c>
      <c r="B316" s="12" t="s">
        <v>12</v>
      </c>
      <c r="C316" s="15" t="s">
        <v>5628</v>
      </c>
      <c r="D316" s="123">
        <v>883.0</v>
      </c>
      <c r="E316" s="134" t="s">
        <v>5666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5" t="s">
        <v>5629</v>
      </c>
      <c r="B317" s="12" t="s">
        <v>5878</v>
      </c>
      <c r="C317" s="19" t="s">
        <v>5630</v>
      </c>
      <c r="D317" s="16">
        <f>SUM(E320:E325)</f>
        <v>0</v>
      </c>
      <c r="E317" s="13" t="s">
        <v>5631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5" t="s">
        <v>5632</v>
      </c>
      <c r="B318" s="12" t="s">
        <v>5879</v>
      </c>
      <c r="C318" s="21" t="s">
        <v>5633</v>
      </c>
      <c r="D318" s="22">
        <f>D316-D317</f>
        <v>883</v>
      </c>
      <c r="E318" s="134">
        <v>595.0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23" t="s">
        <v>1</v>
      </c>
      <c r="B319" s="23" t="s">
        <v>5634</v>
      </c>
      <c r="C319" s="23" t="s">
        <v>5635</v>
      </c>
      <c r="D319" s="23" t="s">
        <v>5636</v>
      </c>
      <c r="E319" s="24" t="s">
        <v>5637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25"/>
      <c r="B320" s="135"/>
      <c r="C320" s="25"/>
      <c r="D320" s="125"/>
      <c r="E320" s="1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25"/>
      <c r="B321" s="124"/>
      <c r="C321" s="25"/>
      <c r="D321" s="125"/>
      <c r="E321" s="1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25"/>
      <c r="B322" s="124"/>
      <c r="C322" s="25"/>
      <c r="D322" s="125"/>
      <c r="E322" s="1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25"/>
      <c r="B323" s="124"/>
      <c r="C323" s="25"/>
      <c r="D323" s="125"/>
      <c r="E323" s="1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25"/>
      <c r="B324" s="124"/>
      <c r="C324" s="25"/>
      <c r="D324" s="125"/>
      <c r="E324" s="1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25"/>
      <c r="B325" s="124"/>
      <c r="C325" s="25"/>
      <c r="D325" s="125"/>
      <c r="E325" s="12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4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4.2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4.2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mergeCells count="21">
    <mergeCell ref="A14:W14"/>
    <mergeCell ref="A22:W22"/>
    <mergeCell ref="A31:W31"/>
    <mergeCell ref="A81:W81"/>
    <mergeCell ref="A110:W110"/>
    <mergeCell ref="A120:W120"/>
    <mergeCell ref="A129:W129"/>
    <mergeCell ref="A210:W210"/>
    <mergeCell ref="A218:W218"/>
    <mergeCell ref="A232:W232"/>
    <mergeCell ref="A242:W242"/>
    <mergeCell ref="A252:W252"/>
    <mergeCell ref="A262:W262"/>
    <mergeCell ref="A272:W272"/>
    <mergeCell ref="A143:W143"/>
    <mergeCell ref="A153:W153"/>
    <mergeCell ref="A161:W161"/>
    <mergeCell ref="A170:W170"/>
    <mergeCell ref="A179:W179"/>
    <mergeCell ref="A188:W188"/>
    <mergeCell ref="A197:W197"/>
  </mergeCells>
  <conditionalFormatting sqref="E1 E15 E23 E32 E82 E111 E121 E134 E144 E154 E162 E171 E180 E189 E198 E211 E219 E233 E243 E253 E263 E273 E288 E301 E314">
    <cfRule type="cellIs" dxfId="0" priority="1" operator="between">
      <formula>6</formula>
      <formula>9</formula>
    </cfRule>
  </conditionalFormatting>
  <conditionalFormatting sqref="E1 E15 E23 E32 E82 E111 E121 E134 E144 E154 E162 E171 E180 E189 E198 E211 E219 E233 E243 E253 E263 E273 E288 E301 E314">
    <cfRule type="cellIs" dxfId="1" priority="2" operator="lessThanOrEqual">
      <formula>5</formula>
    </cfRule>
  </conditionalFormatting>
  <conditionalFormatting sqref="E1 E15 E23 E32 E82 E111 E121 E134 E144 E154 E162 E171 E180 E189 E198 E211 E219 E233 E243 E253 E263 E273 E288 E301 E314">
    <cfRule type="cellIs" dxfId="2" priority="3" operator="greaterThanOrEqual">
      <formula>10</formula>
    </cfRule>
  </conditionalFormatting>
  <dataValidations>
    <dataValidation type="list" allowBlank="1" showErrorMessage="1" sqref="A7:A13 A21 A29:A30 A38:A80 A88:A109 A117:A119 A127:A128 A130:A133 A140:A142 A150:A152 A160 A168:A169 A177:A178 A186:A187 A195:A196 A204:A209 A217 A225:A231 A239:A241 A249:A251 A259:A261 A269:A271 A279:A285 A294:A299 A307:A312 A320:A325">
      <formula1>BASE!$C$2:$C$16</formula1>
    </dataValidation>
    <dataValidation type="list" allowBlank="1" showErrorMessage="1" sqref="C7:C13 C21 C29:C30 C38:C80 C88:C109 C117:C119 C127:C128 C130:C133 C140:C142 C150:C152 C160 C168:C169 C177:C178 C186:C187 C195:C196 C204:C209 C217 C225:C231 C239:C241 C249:C251 C259:C261 C269:C271 C279:C285 C294:C299 C307:C312 C320:C325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5.29"/>
    <col customWidth="1" min="2" max="2" width="29.29"/>
    <col customWidth="1" min="3" max="3" width="32.57"/>
    <col customWidth="1" min="4" max="4" width="21.14"/>
    <col customWidth="1" min="5" max="5" width="19.86"/>
    <col customWidth="1" min="6" max="6" width="42.43"/>
    <col customWidth="1" min="7" max="24" width="8.71"/>
  </cols>
  <sheetData>
    <row r="1" ht="14.25" customHeight="1">
      <c r="A1" s="7" t="s">
        <v>5621</v>
      </c>
      <c r="B1" s="8" t="str">
        <f>'LIBERAÇÕES'!E9</f>
        <v>SAPEZAL-MT</v>
      </c>
      <c r="C1" s="7" t="s">
        <v>5622</v>
      </c>
      <c r="D1" s="12" t="str">
        <f>'LIBERAÇÕES'!F9</f>
        <v>ALG RAFAELA</v>
      </c>
      <c r="E1" s="10">
        <f>'LIBERAÇÕES'!L9</f>
        <v>-73</v>
      </c>
      <c r="F1" s="11" t="s">
        <v>5623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25" customHeight="1">
      <c r="A2" s="7" t="s">
        <v>5624</v>
      </c>
      <c r="B2" s="8" t="str">
        <f>'LIBERAÇÕES'!G9</f>
        <v>RONDONOPOLIS-MT</v>
      </c>
      <c r="C2" s="7" t="s">
        <v>5625</v>
      </c>
      <c r="D2" s="12" t="str">
        <f>'LIBERAÇÕES'!M9</f>
        <v>BRADO</v>
      </c>
      <c r="E2" s="13" t="s">
        <v>5626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4.25" customHeight="1">
      <c r="A3" s="15" t="s">
        <v>5627</v>
      </c>
      <c r="B3" s="12" t="str">
        <f>'LIBERAÇÕES'!C9</f>
        <v>SCHEFFER</v>
      </c>
      <c r="C3" s="15" t="s">
        <v>5628</v>
      </c>
      <c r="D3" s="16">
        <f>'LIBERAÇÕES'!I9</f>
        <v>110</v>
      </c>
      <c r="E3" s="17" t="str">
        <f>'LIBERAÇÕES'!N9</f>
        <v>FARDÃO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4.25" customHeight="1">
      <c r="A4" s="15" t="s">
        <v>5629</v>
      </c>
      <c r="B4" s="18" t="str">
        <f>'LIBERAÇÕES'!J9</f>
        <v>S/BR/49</v>
      </c>
      <c r="C4" s="19" t="s">
        <v>5630</v>
      </c>
      <c r="D4" s="16">
        <f>SUM(E7)</f>
        <v>110</v>
      </c>
      <c r="E4" s="13" t="s">
        <v>5631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4.25" customHeight="1">
      <c r="A5" s="15" t="s">
        <v>5632</v>
      </c>
      <c r="B5" s="20">
        <f>'LIBERAÇÕES'!K9</f>
        <v>46069</v>
      </c>
      <c r="C5" s="21" t="s">
        <v>5633</v>
      </c>
      <c r="D5" s="22">
        <f>D3-D4</f>
        <v>0</v>
      </c>
      <c r="E5" s="17">
        <f>'LIBERAÇÕES'!H9</f>
        <v>270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4.25" customHeight="1">
      <c r="A6" s="23" t="s">
        <v>1</v>
      </c>
      <c r="B6" s="23" t="s">
        <v>5634</v>
      </c>
      <c r="C6" s="23" t="s">
        <v>5635</v>
      </c>
      <c r="D6" s="23" t="s">
        <v>5636</v>
      </c>
      <c r="E6" s="24" t="s">
        <v>5637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4.25" customHeight="1">
      <c r="A7" s="25" t="s">
        <v>37</v>
      </c>
      <c r="B7" s="124" t="s">
        <v>5987</v>
      </c>
      <c r="C7" s="25" t="s">
        <v>6</v>
      </c>
      <c r="D7" s="125">
        <v>255.0</v>
      </c>
      <c r="E7" s="124">
        <v>110.0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4.25" customHeight="1">
      <c r="A8" s="126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8"/>
      <c r="V8" s="5"/>
      <c r="W8" s="5"/>
      <c r="X8" s="5"/>
    </row>
    <row r="9" ht="14.25" customHeight="1">
      <c r="A9" s="7" t="s">
        <v>5621</v>
      </c>
      <c r="B9" s="8" t="str">
        <f>'LIBERAÇÕES'!E10</f>
        <v>SAPEZAL-MT</v>
      </c>
      <c r="C9" s="7" t="s">
        <v>5622</v>
      </c>
      <c r="D9" s="12" t="str">
        <f>'LIBERAÇÕES'!F10</f>
        <v>ALG TRES LAGOAS</v>
      </c>
      <c r="E9" s="10">
        <f>'LIBERAÇÕES'!L10</f>
        <v>-73</v>
      </c>
      <c r="F9" s="11" t="s">
        <v>5623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4.25" customHeight="1">
      <c r="A10" s="7" t="s">
        <v>5624</v>
      </c>
      <c r="B10" s="8" t="str">
        <f>'LIBERAÇÕES'!G10</f>
        <v>RONDONOPOLIS-MT</v>
      </c>
      <c r="C10" s="7" t="s">
        <v>5625</v>
      </c>
      <c r="D10" s="12" t="str">
        <f>'LIBERAÇÕES'!M10</f>
        <v>BRADO</v>
      </c>
      <c r="E10" s="13" t="s">
        <v>5626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4.25" customHeight="1">
      <c r="A11" s="15" t="s">
        <v>5627</v>
      </c>
      <c r="B11" s="12" t="str">
        <f>'LIBERAÇÕES'!C10</f>
        <v>SCHEFFER</v>
      </c>
      <c r="C11" s="15" t="s">
        <v>5628</v>
      </c>
      <c r="D11" s="16">
        <f>'LIBERAÇÕES'!I10</f>
        <v>440</v>
      </c>
      <c r="E11" s="17" t="str">
        <f>'LIBERAÇÕES'!N10</f>
        <v>FARDÃO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4.25" customHeight="1">
      <c r="A12" s="15" t="s">
        <v>5629</v>
      </c>
      <c r="B12" s="18" t="str">
        <f>'LIBERAÇÕES'!J10</f>
        <v>S/BR/49</v>
      </c>
      <c r="C12" s="19" t="s">
        <v>5630</v>
      </c>
      <c r="D12" s="16">
        <f>SUM(E15:E16)</f>
        <v>440</v>
      </c>
      <c r="E12" s="13" t="s">
        <v>5631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4.25" customHeight="1">
      <c r="A13" s="15" t="s">
        <v>5632</v>
      </c>
      <c r="B13" s="20">
        <f>'LIBERAÇÕES'!K10</f>
        <v>46069</v>
      </c>
      <c r="C13" s="21" t="s">
        <v>5633</v>
      </c>
      <c r="D13" s="22">
        <f>D11-D12</f>
        <v>0</v>
      </c>
      <c r="E13" s="17">
        <f>'LIBERAÇÕES'!H10</f>
        <v>270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4.25" customHeight="1">
      <c r="A14" s="23" t="s">
        <v>1</v>
      </c>
      <c r="B14" s="23" t="s">
        <v>5634</v>
      </c>
      <c r="C14" s="23" t="s">
        <v>5635</v>
      </c>
      <c r="D14" s="23" t="s">
        <v>5636</v>
      </c>
      <c r="E14" s="24" t="s">
        <v>5637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4.25" customHeight="1">
      <c r="A15" s="25" t="s">
        <v>37</v>
      </c>
      <c r="B15" s="124" t="s">
        <v>5988</v>
      </c>
      <c r="C15" s="25" t="s">
        <v>34</v>
      </c>
      <c r="D15" s="125">
        <v>240.0</v>
      </c>
      <c r="E15" s="124">
        <v>220.0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4.25" customHeight="1">
      <c r="A16" s="25" t="s">
        <v>37</v>
      </c>
      <c r="B16" s="124" t="s">
        <v>5989</v>
      </c>
      <c r="C16" s="25" t="s">
        <v>34</v>
      </c>
      <c r="D16" s="125">
        <v>250.0</v>
      </c>
      <c r="E16" s="124">
        <v>220.0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4.25" customHeight="1">
      <c r="A17" s="126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8"/>
      <c r="V17" s="5"/>
      <c r="W17" s="5"/>
      <c r="X17" s="5"/>
    </row>
    <row r="18" ht="14.25" customHeight="1">
      <c r="A18" s="7" t="s">
        <v>5621</v>
      </c>
      <c r="B18" s="8" t="str">
        <f>'LIBERAÇÕES'!E30</f>
        <v>SAPEZAL-MT</v>
      </c>
      <c r="C18" s="7" t="s">
        <v>5622</v>
      </c>
      <c r="D18" s="12" t="str">
        <f>'LIBERAÇÕES'!F30</f>
        <v>ALG BC COTTON</v>
      </c>
      <c r="E18" s="10">
        <f>'LIBERAÇÕES'!L30</f>
        <v>-61</v>
      </c>
      <c r="F18" s="11" t="s">
        <v>5623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4.25" customHeight="1">
      <c r="A19" s="7" t="s">
        <v>5624</v>
      </c>
      <c r="B19" s="8" t="str">
        <f>'LIBERAÇÕES'!G30</f>
        <v>SANTOS-SP</v>
      </c>
      <c r="C19" s="7" t="s">
        <v>5625</v>
      </c>
      <c r="D19" s="12" t="str">
        <f>'LIBERAÇÕES'!M30</f>
        <v/>
      </c>
      <c r="E19" s="13" t="s">
        <v>5626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4.25" customHeight="1">
      <c r="A20" s="15" t="s">
        <v>5627</v>
      </c>
      <c r="B20" s="12" t="str">
        <f>'LIBERAÇÕES'!C30</f>
        <v>COFCO</v>
      </c>
      <c r="C20" s="15" t="s">
        <v>5628</v>
      </c>
      <c r="D20" s="123">
        <v>863.0</v>
      </c>
      <c r="E20" s="17" t="str">
        <f>'LIBERAÇÕES'!N30</f>
        <v>FARDINHO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4.25" customHeight="1">
      <c r="A21" s="15" t="s">
        <v>5629</v>
      </c>
      <c r="B21" s="18" t="str">
        <f>'LIBERAÇÕES'!J30</f>
        <v>RODO-M37-JAN26-06-B</v>
      </c>
      <c r="C21" s="19" t="s">
        <v>5630</v>
      </c>
      <c r="D21" s="16">
        <f>SUM(E24:E29)</f>
        <v>863</v>
      </c>
      <c r="E21" s="13" t="s">
        <v>5631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4.25" customHeight="1">
      <c r="A22" s="15" t="s">
        <v>5632</v>
      </c>
      <c r="B22" s="20">
        <f>'LIBERAÇÕES'!K30</f>
        <v>46081</v>
      </c>
      <c r="C22" s="21" t="s">
        <v>5633</v>
      </c>
      <c r="D22" s="22">
        <f>D20-D21</f>
        <v>0</v>
      </c>
      <c r="E22" s="17">
        <f>'LIBERAÇÕES'!H30</f>
        <v>727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4.25" customHeight="1">
      <c r="A23" s="23" t="s">
        <v>1</v>
      </c>
      <c r="B23" s="23" t="s">
        <v>5634</v>
      </c>
      <c r="C23" s="23" t="s">
        <v>5635</v>
      </c>
      <c r="D23" s="23" t="s">
        <v>5636</v>
      </c>
      <c r="E23" s="24" t="s">
        <v>5637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4.25" customHeight="1">
      <c r="A24" s="25" t="s">
        <v>37</v>
      </c>
      <c r="B24" s="124" t="s">
        <v>5990</v>
      </c>
      <c r="C24" s="25" t="s">
        <v>10</v>
      </c>
      <c r="D24" s="125">
        <v>600.0</v>
      </c>
      <c r="E24" s="124">
        <v>127.0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4.25" customHeight="1">
      <c r="A25" s="25" t="s">
        <v>37</v>
      </c>
      <c r="B25" s="124" t="s">
        <v>5991</v>
      </c>
      <c r="C25" s="25" t="s">
        <v>10</v>
      </c>
      <c r="D25" s="125">
        <v>610.0</v>
      </c>
      <c r="E25" s="124">
        <v>127.0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4.25" customHeight="1">
      <c r="A26" s="25" t="s">
        <v>37</v>
      </c>
      <c r="B26" s="124" t="s">
        <v>5992</v>
      </c>
      <c r="C26" s="25" t="s">
        <v>26</v>
      </c>
      <c r="D26" s="125">
        <v>600.0</v>
      </c>
      <c r="E26" s="124">
        <v>164.0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4.25" customHeight="1">
      <c r="A27" s="25" t="s">
        <v>37</v>
      </c>
      <c r="B27" s="124" t="s">
        <v>5993</v>
      </c>
      <c r="C27" s="25" t="s">
        <v>26</v>
      </c>
      <c r="D27" s="125">
        <v>610.0</v>
      </c>
      <c r="E27" s="124">
        <v>170.0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4.25" customHeight="1">
      <c r="A28" s="25" t="s">
        <v>37</v>
      </c>
      <c r="B28" s="124" t="s">
        <v>5994</v>
      </c>
      <c r="C28" s="25" t="s">
        <v>10</v>
      </c>
      <c r="D28" s="125">
        <v>620.0</v>
      </c>
      <c r="E28" s="124">
        <v>150.0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4.25" customHeight="1">
      <c r="A29" s="25" t="s">
        <v>37</v>
      </c>
      <c r="B29" s="124" t="s">
        <v>5995</v>
      </c>
      <c r="C29" s="25" t="s">
        <v>10</v>
      </c>
      <c r="D29" s="125">
        <v>620.0</v>
      </c>
      <c r="E29" s="124">
        <v>125.0</v>
      </c>
      <c r="F29" s="1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130">
        <v>610.0</v>
      </c>
    </row>
    <row r="30" ht="14.25" customHeight="1">
      <c r="A30" s="15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4"/>
      <c r="V30" s="146"/>
      <c r="W30" s="146"/>
      <c r="X30" s="153"/>
    </row>
    <row r="31" ht="14.25" customHeight="1">
      <c r="A31" s="7" t="s">
        <v>5621</v>
      </c>
      <c r="B31" s="8" t="str">
        <f>'LIBERAÇÕES'!E31</f>
        <v>SAPEZAL-MT</v>
      </c>
      <c r="C31" s="7" t="s">
        <v>5622</v>
      </c>
      <c r="D31" s="12" t="str">
        <f>'LIBERAÇÕES'!F31</f>
        <v>ALG RAFAELA</v>
      </c>
      <c r="E31" s="10">
        <f>'LIBERAÇÕES'!L31</f>
        <v>-58</v>
      </c>
      <c r="F31" s="11" t="s">
        <v>5623</v>
      </c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53"/>
    </row>
    <row r="32" ht="14.25" customHeight="1">
      <c r="A32" s="7" t="s">
        <v>5624</v>
      </c>
      <c r="B32" s="8" t="str">
        <f>'LIBERAÇÕES'!G31</f>
        <v>SANTOS-SP</v>
      </c>
      <c r="C32" s="7" t="s">
        <v>5625</v>
      </c>
      <c r="D32" s="12" t="str">
        <f>'LIBERAÇÕES'!M31</f>
        <v>SMAGALHÃES</v>
      </c>
      <c r="E32" s="13" t="s">
        <v>5626</v>
      </c>
      <c r="F32" s="5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53"/>
    </row>
    <row r="33" ht="14.25" customHeight="1">
      <c r="A33" s="15" t="s">
        <v>5627</v>
      </c>
      <c r="B33" s="12" t="str">
        <f>'LIBERAÇÕES'!C31</f>
        <v>LDC </v>
      </c>
      <c r="C33" s="15" t="s">
        <v>5628</v>
      </c>
      <c r="D33" s="16">
        <f>'LIBERAÇÕES'!I31</f>
        <v>220</v>
      </c>
      <c r="E33" s="17" t="str">
        <f>'LIBERAÇÕES'!N31</f>
        <v>FARDÃO</v>
      </c>
      <c r="F33" s="5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53"/>
    </row>
    <row r="34" ht="14.25" customHeight="1">
      <c r="A34" s="15" t="s">
        <v>5629</v>
      </c>
      <c r="B34" s="18" t="str">
        <f>'LIBERAÇÕES'!J31</f>
        <v>RDN-EXP-SMGS-25-T531</v>
      </c>
      <c r="C34" s="19" t="s">
        <v>5630</v>
      </c>
      <c r="D34" s="16">
        <f>SUM(E37)</f>
        <v>220</v>
      </c>
      <c r="E34" s="13" t="s">
        <v>5631</v>
      </c>
      <c r="F34" s="5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53"/>
    </row>
    <row r="35" ht="14.25" customHeight="1">
      <c r="A35" s="15" t="s">
        <v>5632</v>
      </c>
      <c r="B35" s="20">
        <f>'LIBERAÇÕES'!K31</f>
        <v>46084</v>
      </c>
      <c r="C35" s="21" t="s">
        <v>5633</v>
      </c>
      <c r="D35" s="22">
        <f>D33-D34</f>
        <v>0</v>
      </c>
      <c r="E35" s="17">
        <f>'LIBERAÇÕES'!H31</f>
        <v>660</v>
      </c>
      <c r="F35" s="5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53"/>
    </row>
    <row r="36" ht="14.25" customHeight="1">
      <c r="A36" s="154" t="s">
        <v>1</v>
      </c>
      <c r="B36" s="154" t="s">
        <v>5634</v>
      </c>
      <c r="C36" s="154" t="s">
        <v>5635</v>
      </c>
      <c r="D36" s="155" t="s">
        <v>5636</v>
      </c>
      <c r="E36" s="156" t="s">
        <v>5637</v>
      </c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53"/>
    </row>
    <row r="37" ht="14.25" customHeight="1">
      <c r="A37" s="141" t="s">
        <v>37</v>
      </c>
      <c r="B37" s="157" t="s">
        <v>5996</v>
      </c>
      <c r="C37" s="158" t="s">
        <v>34</v>
      </c>
      <c r="D37" s="144">
        <v>630.0</v>
      </c>
      <c r="E37" s="145">
        <v>220.0</v>
      </c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53"/>
    </row>
    <row r="38" ht="14.25" customHeight="1">
      <c r="A38" s="126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8"/>
      <c r="V38" s="5"/>
      <c r="W38" s="5"/>
      <c r="X38" s="5"/>
    </row>
    <row r="39" ht="14.25" customHeight="1">
      <c r="A39" s="7" t="s">
        <v>5621</v>
      </c>
      <c r="B39" s="8" t="str">
        <f>'LIBERAÇÕES'!E32</f>
        <v>SAPEZAL-MT</v>
      </c>
      <c r="C39" s="7" t="s">
        <v>5622</v>
      </c>
      <c r="D39" s="12" t="str">
        <f>'LIBERAÇÕES'!F32</f>
        <v>ALG RAFAELA</v>
      </c>
      <c r="E39" s="10">
        <f>'LIBERAÇÕES'!L32</f>
        <v>-58</v>
      </c>
      <c r="F39" s="11" t="s">
        <v>5623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4.25" customHeight="1">
      <c r="A40" s="7" t="s">
        <v>5624</v>
      </c>
      <c r="B40" s="8" t="str">
        <f>'LIBERAÇÕES'!G32</f>
        <v>SANTOS-SP</v>
      </c>
      <c r="C40" s="7" t="s">
        <v>5625</v>
      </c>
      <c r="D40" s="12" t="str">
        <f>'LIBERAÇÕES'!M32</f>
        <v>SMAGALHÃES</v>
      </c>
      <c r="E40" s="13" t="s">
        <v>5626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4.25" customHeight="1">
      <c r="A41" s="15" t="s">
        <v>5627</v>
      </c>
      <c r="B41" s="12" t="str">
        <f>'LIBERAÇÕES'!C32</f>
        <v>LDC </v>
      </c>
      <c r="C41" s="15" t="s">
        <v>5628</v>
      </c>
      <c r="D41" s="16">
        <f>'LIBERAÇÕES'!I32</f>
        <v>880</v>
      </c>
      <c r="E41" s="17" t="str">
        <f>'LIBERAÇÕES'!N32</f>
        <v>FARDÃO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4.25" customHeight="1">
      <c r="A42" s="15" t="s">
        <v>5629</v>
      </c>
      <c r="B42" s="18" t="str">
        <f>'LIBERAÇÕES'!J32</f>
        <v>RDN-EXP-SMGS-25-T517</v>
      </c>
      <c r="C42" s="19" t="s">
        <v>5630</v>
      </c>
      <c r="D42" s="16">
        <f>SUM(E45:E49)</f>
        <v>880</v>
      </c>
      <c r="E42" s="13" t="s">
        <v>5631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4.25" customHeight="1">
      <c r="A43" s="15" t="s">
        <v>5632</v>
      </c>
      <c r="B43" s="20">
        <f>'LIBERAÇÕES'!K32</f>
        <v>46084</v>
      </c>
      <c r="C43" s="21" t="s">
        <v>5633</v>
      </c>
      <c r="D43" s="22">
        <f>D41-D42</f>
        <v>0</v>
      </c>
      <c r="E43" s="17">
        <f>'LIBERAÇÕES'!H32</f>
        <v>660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4.25" customHeight="1">
      <c r="A44" s="23" t="s">
        <v>1</v>
      </c>
      <c r="B44" s="23" t="s">
        <v>5634</v>
      </c>
      <c r="C44" s="23" t="s">
        <v>5635</v>
      </c>
      <c r="D44" s="23" t="s">
        <v>5636</v>
      </c>
      <c r="E44" s="24" t="s">
        <v>5637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4.25" customHeight="1">
      <c r="A45" s="25" t="s">
        <v>37</v>
      </c>
      <c r="B45" s="157" t="s">
        <v>5997</v>
      </c>
      <c r="C45" s="25" t="s">
        <v>26</v>
      </c>
      <c r="D45" s="125">
        <v>630.0</v>
      </c>
      <c r="E45" s="124">
        <v>165.0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4.25" customHeight="1">
      <c r="A46" s="25" t="s">
        <v>37</v>
      </c>
      <c r="B46" s="157" t="s">
        <v>5998</v>
      </c>
      <c r="C46" s="25" t="s">
        <v>26</v>
      </c>
      <c r="D46" s="125">
        <v>630.0</v>
      </c>
      <c r="E46" s="124">
        <v>155.0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4.25" customHeight="1">
      <c r="A47" s="25" t="s">
        <v>37</v>
      </c>
      <c r="B47" s="157" t="s">
        <v>5999</v>
      </c>
      <c r="C47" s="25" t="s">
        <v>26</v>
      </c>
      <c r="D47" s="125">
        <v>630.0</v>
      </c>
      <c r="E47" s="124">
        <v>155.0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4.25" customHeight="1">
      <c r="A48" s="25" t="s">
        <v>37</v>
      </c>
      <c r="B48" s="157" t="s">
        <v>6000</v>
      </c>
      <c r="C48" s="25" t="s">
        <v>34</v>
      </c>
      <c r="D48" s="125">
        <v>620.0</v>
      </c>
      <c r="E48" s="124">
        <v>203.0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4.25" customHeight="1">
      <c r="A49" s="25" t="s">
        <v>37</v>
      </c>
      <c r="B49" s="157" t="s">
        <v>6001</v>
      </c>
      <c r="C49" s="25" t="s">
        <v>18</v>
      </c>
      <c r="D49" s="125">
        <v>620.0</v>
      </c>
      <c r="E49" s="124">
        <v>202.0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4.25" customHeight="1">
      <c r="A50" s="126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8"/>
      <c r="V50" s="5"/>
      <c r="W50" s="5"/>
      <c r="X50" s="5"/>
    </row>
    <row r="51" ht="14.25" customHeight="1">
      <c r="A51" s="7" t="s">
        <v>5621</v>
      </c>
      <c r="B51" s="8" t="str">
        <f>'LIBERAÇÕES'!E48</f>
        <v>CAMPOS DE JULIO-MT</v>
      </c>
      <c r="C51" s="7" t="s">
        <v>5622</v>
      </c>
      <c r="D51" s="12" t="str">
        <f>'LIBERAÇÕES'!F48</f>
        <v>ALG G4 COTTON</v>
      </c>
      <c r="E51" s="10">
        <f>'LIBERAÇÕES'!L48</f>
        <v>-50</v>
      </c>
      <c r="F51" s="11" t="s">
        <v>5623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4.25" customHeight="1">
      <c r="A52" s="7" t="s">
        <v>5624</v>
      </c>
      <c r="B52" s="8" t="str">
        <f>'LIBERAÇÕES'!G48</f>
        <v>GUARUJA-SP</v>
      </c>
      <c r="C52" s="7" t="s">
        <v>5625</v>
      </c>
      <c r="D52" s="12" t="str">
        <f>'LIBERAÇÕES'!M48</f>
        <v>SMAGALHÃES</v>
      </c>
      <c r="E52" s="13" t="s">
        <v>5626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4.25" customHeight="1">
      <c r="A53" s="15" t="s">
        <v>5627</v>
      </c>
      <c r="B53" s="12" t="str">
        <f>'LIBERAÇÕES'!C48</f>
        <v>COFCO</v>
      </c>
      <c r="C53" s="15" t="s">
        <v>5628</v>
      </c>
      <c r="D53" s="16">
        <f>'LIBERAÇÕES'!I48</f>
        <v>179</v>
      </c>
      <c r="E53" s="17" t="str">
        <f>'LIBERAÇÕES'!N48</f>
        <v>FARDÃO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4.25" customHeight="1">
      <c r="A54" s="15" t="s">
        <v>5629</v>
      </c>
      <c r="B54" s="18" t="str">
        <f>'LIBERAÇÕES'!J48</f>
        <v>S07305-FEB-02 </v>
      </c>
      <c r="C54" s="19" t="s">
        <v>5630</v>
      </c>
      <c r="D54" s="16">
        <f>SUM(E57)</f>
        <v>179</v>
      </c>
      <c r="E54" s="13" t="s">
        <v>5631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4.25" customHeight="1">
      <c r="A55" s="15" t="s">
        <v>5632</v>
      </c>
      <c r="B55" s="20">
        <f>'LIBERAÇÕES'!K48</f>
        <v>46092</v>
      </c>
      <c r="C55" s="21" t="s">
        <v>5633</v>
      </c>
      <c r="D55" s="22">
        <f>D53-D54</f>
        <v>0</v>
      </c>
      <c r="E55" s="17">
        <f>'LIBERAÇÕES'!H48</f>
        <v>841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4.25" customHeight="1">
      <c r="A56" s="23" t="s">
        <v>1</v>
      </c>
      <c r="B56" s="23" t="s">
        <v>5634</v>
      </c>
      <c r="C56" s="23" t="s">
        <v>5635</v>
      </c>
      <c r="D56" s="23" t="s">
        <v>5636</v>
      </c>
      <c r="E56" s="24" t="s">
        <v>5637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4.25" customHeight="1">
      <c r="A57" s="25" t="s">
        <v>37</v>
      </c>
      <c r="B57" s="157" t="s">
        <v>5859</v>
      </c>
      <c r="C57" s="25" t="s">
        <v>34</v>
      </c>
      <c r="D57" s="125">
        <v>630.0</v>
      </c>
      <c r="E57" s="124">
        <v>179.0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4.25" customHeight="1">
      <c r="A58" s="126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8"/>
      <c r="V58" s="5"/>
      <c r="W58" s="5"/>
      <c r="X58" s="5"/>
    </row>
    <row r="59" ht="14.25" customHeight="1">
      <c r="A59" s="7" t="s">
        <v>5621</v>
      </c>
      <c r="B59" s="8" t="s">
        <v>6002</v>
      </c>
      <c r="C59" s="7" t="s">
        <v>5622</v>
      </c>
      <c r="D59" s="12" t="s">
        <v>6003</v>
      </c>
      <c r="E59" s="10">
        <f>'LIBERAÇÕES'!L58</f>
        <v>-41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4.25" customHeight="1">
      <c r="A60" s="7" t="s">
        <v>5624</v>
      </c>
      <c r="B60" s="8" t="s">
        <v>4630</v>
      </c>
      <c r="C60" s="7" t="s">
        <v>5625</v>
      </c>
      <c r="D60" s="12" t="s">
        <v>6004</v>
      </c>
      <c r="E60" s="13" t="s">
        <v>5626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4.25" customHeight="1">
      <c r="A61" s="15" t="s">
        <v>5627</v>
      </c>
      <c r="B61" s="12" t="s">
        <v>36</v>
      </c>
      <c r="C61" s="15" t="s">
        <v>5628</v>
      </c>
      <c r="D61" s="123">
        <v>307.0</v>
      </c>
      <c r="E61" s="17" t="str">
        <f>'LIBERAÇÕES'!N58</f>
        <v>FARDÃO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4.25" customHeight="1">
      <c r="A62" s="15" t="s">
        <v>5629</v>
      </c>
      <c r="B62" s="12" t="s">
        <v>6005</v>
      </c>
      <c r="C62" s="19" t="s">
        <v>5630</v>
      </c>
      <c r="D62" s="16">
        <f>SUM(E66:E67)</f>
        <v>307</v>
      </c>
      <c r="E62" s="13" t="s">
        <v>5631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4.25" customHeight="1">
      <c r="A63" s="15" t="s">
        <v>5632</v>
      </c>
      <c r="B63" s="12" t="s">
        <v>6006</v>
      </c>
      <c r="C63" s="21" t="s">
        <v>5633</v>
      </c>
      <c r="D63" s="22">
        <f>D61-D62</f>
        <v>0</v>
      </c>
      <c r="E63" s="134">
        <v>739.0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4.25" customHeight="1">
      <c r="A64" s="23" t="s">
        <v>1</v>
      </c>
      <c r="B64" s="23" t="s">
        <v>5634</v>
      </c>
      <c r="C64" s="23" t="s">
        <v>5635</v>
      </c>
      <c r="D64" s="23" t="s">
        <v>5636</v>
      </c>
      <c r="E64" s="24" t="s">
        <v>5637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4.25" customHeight="1">
      <c r="A65" s="25" t="s">
        <v>37</v>
      </c>
      <c r="B65" s="157" t="s">
        <v>5908</v>
      </c>
      <c r="C65" s="25" t="s">
        <v>6</v>
      </c>
      <c r="D65" s="159">
        <v>610.0</v>
      </c>
      <c r="E65" s="124">
        <v>133.0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4.25" customHeight="1">
      <c r="A66" s="25" t="s">
        <v>37</v>
      </c>
      <c r="B66" s="157" t="s">
        <v>6007</v>
      </c>
      <c r="C66" s="160" t="s">
        <v>30</v>
      </c>
      <c r="D66" s="159">
        <v>610.0</v>
      </c>
      <c r="E66" s="161">
        <v>159.0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4.25" customHeight="1">
      <c r="A67" s="25" t="s">
        <v>37</v>
      </c>
      <c r="B67" s="157" t="s">
        <v>6008</v>
      </c>
      <c r="C67" s="160" t="s">
        <v>30</v>
      </c>
      <c r="D67" s="159">
        <v>620.0</v>
      </c>
      <c r="E67" s="161">
        <v>148.0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4.25" customHeight="1">
      <c r="A68" s="162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8"/>
      <c r="V68" s="146"/>
      <c r="W68" s="146"/>
      <c r="X68" s="146"/>
    </row>
    <row r="69" ht="14.25" customHeight="1">
      <c r="A69" s="163" t="s">
        <v>5621</v>
      </c>
      <c r="B69" s="164" t="s">
        <v>6002</v>
      </c>
      <c r="C69" s="163" t="s">
        <v>5622</v>
      </c>
      <c r="D69" s="165" t="s">
        <v>6003</v>
      </c>
      <c r="E69" s="166" t="str">
        <f>'LIBERAÇÕES'!L93</f>
        <v/>
      </c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</row>
    <row r="70" ht="14.25" customHeight="1">
      <c r="A70" s="163" t="s">
        <v>5624</v>
      </c>
      <c r="B70" s="167" t="s">
        <v>243</v>
      </c>
      <c r="C70" s="163" t="s">
        <v>5625</v>
      </c>
      <c r="D70" s="168" t="s">
        <v>6009</v>
      </c>
      <c r="E70" s="169" t="s">
        <v>5626</v>
      </c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</row>
    <row r="71" ht="14.25" customHeight="1">
      <c r="A71" s="170" t="s">
        <v>5627</v>
      </c>
      <c r="B71" s="165" t="s">
        <v>36</v>
      </c>
      <c r="C71" s="170" t="s">
        <v>5628</v>
      </c>
      <c r="D71" s="171">
        <v>128.0</v>
      </c>
      <c r="E71" s="172" t="str">
        <f>'LIBERAÇÕES'!N93</f>
        <v/>
      </c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</row>
    <row r="72" ht="14.25" customHeight="1">
      <c r="A72" s="170" t="s">
        <v>5629</v>
      </c>
      <c r="B72" s="168" t="s">
        <v>6010</v>
      </c>
      <c r="C72" s="170" t="s">
        <v>5630</v>
      </c>
      <c r="D72" s="173">
        <f>SUM(E75)</f>
        <v>128</v>
      </c>
      <c r="E72" s="169" t="s">
        <v>5631</v>
      </c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</row>
    <row r="73" ht="14.25" customHeight="1">
      <c r="A73" s="170" t="s">
        <v>5632</v>
      </c>
      <c r="B73" s="165"/>
      <c r="C73" s="174" t="s">
        <v>5633</v>
      </c>
      <c r="D73" s="175">
        <f>D71-D72</f>
        <v>0</v>
      </c>
      <c r="E73" s="176">
        <v>680.0</v>
      </c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</row>
    <row r="74" ht="14.25" customHeight="1">
      <c r="A74" s="177" t="s">
        <v>1</v>
      </c>
      <c r="B74" s="177" t="s">
        <v>5634</v>
      </c>
      <c r="C74" s="177" t="s">
        <v>5635</v>
      </c>
      <c r="D74" s="177" t="s">
        <v>5636</v>
      </c>
      <c r="E74" s="178" t="s">
        <v>5637</v>
      </c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</row>
    <row r="75" ht="14.25" customHeight="1">
      <c r="A75" s="141" t="s">
        <v>37</v>
      </c>
      <c r="B75" s="179" t="s">
        <v>6011</v>
      </c>
      <c r="C75" s="141" t="s">
        <v>10</v>
      </c>
      <c r="D75" s="180">
        <v>520.0</v>
      </c>
      <c r="E75" s="145">
        <v>128.0</v>
      </c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</row>
    <row r="76" ht="14.25" customHeight="1">
      <c r="A76" s="126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8"/>
      <c r="V76" s="5"/>
      <c r="W76" s="5"/>
      <c r="X76" s="5"/>
    </row>
    <row r="77" ht="14.25" customHeight="1">
      <c r="A77" s="7" t="s">
        <v>5621</v>
      </c>
      <c r="B77" s="8" t="str">
        <f>'LIBERAÇÕES'!E62</f>
        <v>CAMPOS DE JULIO-MT</v>
      </c>
      <c r="C77" s="7" t="s">
        <v>5622</v>
      </c>
      <c r="D77" s="12" t="str">
        <f>'LIBERAÇÕES'!F62</f>
        <v>ALG G4 COTTON</v>
      </c>
      <c r="E77" s="10" t="str">
        <f>'LIBERAÇÕES'!L101</f>
        <v/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4.25" customHeight="1">
      <c r="A78" s="7" t="s">
        <v>5624</v>
      </c>
      <c r="B78" s="8" t="str">
        <f>'LIBERAÇÕES'!G62</f>
        <v>RONDONOPOLIS-MT</v>
      </c>
      <c r="C78" s="7" t="s">
        <v>5625</v>
      </c>
      <c r="D78" s="12" t="str">
        <f>'LIBERAÇÕES'!M62</f>
        <v>EISA</v>
      </c>
      <c r="E78" s="13" t="s">
        <v>5626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4.25" customHeight="1">
      <c r="A79" s="15" t="s">
        <v>5627</v>
      </c>
      <c r="B79" s="12" t="str">
        <f>'LIBERAÇÕES'!C62</f>
        <v>NUTRADE </v>
      </c>
      <c r="C79" s="15" t="s">
        <v>5628</v>
      </c>
      <c r="D79" s="123">
        <f>'LIBERAÇÕES'!I62</f>
        <v>318</v>
      </c>
      <c r="E79" s="17" t="str">
        <f>'LIBERAÇÕES'!N101</f>
        <v/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4.25" customHeight="1">
      <c r="A80" s="15" t="s">
        <v>5629</v>
      </c>
      <c r="B80" s="12" t="str">
        <f>'LIBERAÇÕES'!J62</f>
        <v>SIRON-EXP-3155257016-057-01A</v>
      </c>
      <c r="C80" s="19" t="s">
        <v>5630</v>
      </c>
      <c r="D80" s="16" t="str">
        <f>E83+E84+#REF!</f>
        <v>#REF!</v>
      </c>
      <c r="E80" s="13" t="s">
        <v>5631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4.25" customHeight="1">
      <c r="A81" s="15" t="s">
        <v>5632</v>
      </c>
      <c r="B81" s="181">
        <f>'LIBERAÇÕES'!K62</f>
        <v>46112</v>
      </c>
      <c r="C81" s="21" t="s">
        <v>5633</v>
      </c>
      <c r="D81" s="22" t="str">
        <f>D79-D80</f>
        <v>#REF!</v>
      </c>
      <c r="E81" s="134">
        <f>'LIBERAÇÕES'!H62</f>
        <v>290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4.25" customHeight="1">
      <c r="A82" s="23" t="s">
        <v>1</v>
      </c>
      <c r="B82" s="23" t="s">
        <v>5634</v>
      </c>
      <c r="C82" s="23" t="s">
        <v>5635</v>
      </c>
      <c r="D82" s="23" t="s">
        <v>5636</v>
      </c>
      <c r="E82" s="24" t="s">
        <v>5637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4.25" customHeight="1">
      <c r="A83" s="25" t="s">
        <v>37</v>
      </c>
      <c r="B83" s="157" t="s">
        <v>6012</v>
      </c>
      <c r="C83" s="25" t="s">
        <v>26</v>
      </c>
      <c r="D83" s="159">
        <v>230.0</v>
      </c>
      <c r="E83" s="124">
        <v>159.0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4.25" customHeight="1">
      <c r="A84" s="25" t="s">
        <v>37</v>
      </c>
      <c r="B84" s="157" t="s">
        <v>6013</v>
      </c>
      <c r="C84" s="160" t="s">
        <v>26</v>
      </c>
      <c r="D84" s="159">
        <v>230.0</v>
      </c>
      <c r="E84" s="161">
        <v>154.0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4.25" customHeight="1">
      <c r="A85" s="126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8"/>
      <c r="V85" s="5"/>
      <c r="W85" s="5"/>
      <c r="X85" s="5"/>
    </row>
    <row r="86" ht="14.25" customHeight="1">
      <c r="A86" s="7" t="s">
        <v>5621</v>
      </c>
      <c r="B86" s="8" t="str">
        <f>'LIBERAÇÕES'!E66</f>
        <v>SAPEZAL-MT</v>
      </c>
      <c r="C86" s="7" t="s">
        <v>5622</v>
      </c>
      <c r="D86" s="12" t="str">
        <f>'LIBERAÇÕES'!F66</f>
        <v>ALG TRES LAGOAS</v>
      </c>
      <c r="E86" s="10" t="str">
        <f>'LIBERAÇÕES'!L111</f>
        <v/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4.25" customHeight="1">
      <c r="A87" s="7" t="s">
        <v>5624</v>
      </c>
      <c r="B87" s="8" t="str">
        <f>'LIBERAÇÕES'!G66</f>
        <v>RONDONOPOLIS-MT</v>
      </c>
      <c r="C87" s="7" t="s">
        <v>5625</v>
      </c>
      <c r="D87" s="12" t="str">
        <f>'LIBERAÇÕES'!M66</f>
        <v>BRADO</v>
      </c>
      <c r="E87" s="13" t="s">
        <v>5626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4.25" customHeight="1">
      <c r="A88" s="15" t="s">
        <v>5627</v>
      </c>
      <c r="B88" s="12" t="str">
        <f>'LIBERAÇÕES'!C66</f>
        <v>SCHEFFER</v>
      </c>
      <c r="C88" s="15" t="s">
        <v>5628</v>
      </c>
      <c r="D88" s="123">
        <f>'LIBERAÇÕES'!I66</f>
        <v>770</v>
      </c>
      <c r="E88" s="17" t="str">
        <f>'LIBERAÇÕES'!N111</f>
        <v/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4.25" customHeight="1">
      <c r="A89" s="15" t="s">
        <v>5629</v>
      </c>
      <c r="B89" s="12" t="str">
        <f>'LIBERAÇÕES'!J66</f>
        <v>625145/04-001</v>
      </c>
      <c r="C89" s="19" t="s">
        <v>5630</v>
      </c>
      <c r="D89" s="16">
        <f>SUM(E92:E96)</f>
        <v>770</v>
      </c>
      <c r="E89" s="13" t="s">
        <v>5631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4.25" customHeight="1">
      <c r="A90" s="15" t="s">
        <v>5632</v>
      </c>
      <c r="B90" s="181">
        <f>'LIBERAÇÕES'!K66</f>
        <v>46116</v>
      </c>
      <c r="C90" s="21" t="s">
        <v>5633</v>
      </c>
      <c r="D90" s="22">
        <f>D88-D89</f>
        <v>0</v>
      </c>
      <c r="E90" s="134" t="str">
        <f>'LIBERAÇÕES'!H91</f>
        <v/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4.25" customHeight="1">
      <c r="A91" s="23" t="s">
        <v>1</v>
      </c>
      <c r="B91" s="23" t="s">
        <v>5634</v>
      </c>
      <c r="C91" s="23" t="s">
        <v>5635</v>
      </c>
      <c r="D91" s="23" t="s">
        <v>5636</v>
      </c>
      <c r="E91" s="24" t="s">
        <v>5637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4.25" customHeight="1">
      <c r="A92" s="25" t="s">
        <v>37</v>
      </c>
      <c r="B92" s="157" t="s">
        <v>6014</v>
      </c>
      <c r="C92" s="25" t="s">
        <v>22</v>
      </c>
      <c r="D92" s="159">
        <v>215.0</v>
      </c>
      <c r="E92" s="124">
        <v>138.0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4.25" customHeight="1">
      <c r="A93" s="25" t="s">
        <v>37</v>
      </c>
      <c r="B93" s="157" t="s">
        <v>6015</v>
      </c>
      <c r="C93" s="160" t="s">
        <v>6</v>
      </c>
      <c r="D93" s="159">
        <v>215.0</v>
      </c>
      <c r="E93" s="161">
        <v>140.0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4.25" customHeight="1">
      <c r="A94" s="25" t="s">
        <v>37</v>
      </c>
      <c r="B94" s="157" t="s">
        <v>6016</v>
      </c>
      <c r="C94" s="160" t="s">
        <v>30</v>
      </c>
      <c r="D94" s="159">
        <v>215.0</v>
      </c>
      <c r="E94" s="161">
        <v>142.0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4.25" customHeight="1">
      <c r="A95" s="25" t="s">
        <v>37</v>
      </c>
      <c r="B95" s="157" t="s">
        <v>6017</v>
      </c>
      <c r="C95" s="160" t="s">
        <v>26</v>
      </c>
      <c r="D95" s="159">
        <v>215.0</v>
      </c>
      <c r="E95" s="124">
        <v>170.0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4.25" customHeight="1">
      <c r="A96" s="25" t="s">
        <v>37</v>
      </c>
      <c r="B96" s="157" t="s">
        <v>5961</v>
      </c>
      <c r="C96" s="160" t="s">
        <v>34</v>
      </c>
      <c r="D96" s="159">
        <v>240.0</v>
      </c>
      <c r="E96" s="161">
        <v>180.0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4.25" customHeight="1">
      <c r="A97" s="126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8"/>
      <c r="V97" s="5"/>
      <c r="W97" s="5"/>
      <c r="X97" s="5"/>
    </row>
    <row r="98" ht="14.25" customHeight="1">
      <c r="A98" s="7" t="s">
        <v>5621</v>
      </c>
      <c r="B98" s="8" t="str">
        <f>'LIBERAÇÕES'!E66</f>
        <v>SAPEZAL-MT</v>
      </c>
      <c r="C98" s="7" t="s">
        <v>5622</v>
      </c>
      <c r="D98" s="12" t="str">
        <f>'LIBERAÇÕES'!F67</f>
        <v>ALG IRACEMA</v>
      </c>
      <c r="E98" s="10" t="str">
        <f>'LIBERAÇÕES'!L124</f>
        <v/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4.25" customHeight="1">
      <c r="A99" s="7" t="s">
        <v>5624</v>
      </c>
      <c r="B99" s="8" t="str">
        <f>'LIBERAÇÕES'!G67</f>
        <v>RONDONOPOLIS-MT</v>
      </c>
      <c r="C99" s="7" t="s">
        <v>5625</v>
      </c>
      <c r="D99" s="12" t="str">
        <f>'LIBERAÇÕES'!M67</f>
        <v>BRADO</v>
      </c>
      <c r="E99" s="13" t="s">
        <v>5626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4.25" customHeight="1">
      <c r="A100" s="15" t="s">
        <v>5627</v>
      </c>
      <c r="B100" s="12" t="str">
        <f>'LIBERAÇÕES'!C67</f>
        <v>SCHEFFER</v>
      </c>
      <c r="C100" s="15" t="s">
        <v>5628</v>
      </c>
      <c r="D100" s="123">
        <f>'LIBERAÇÕES'!I67</f>
        <v>220</v>
      </c>
      <c r="E100" s="17" t="str">
        <f>'LIBERAÇÕES'!N124</f>
        <v/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4.25" customHeight="1">
      <c r="A101" s="15" t="s">
        <v>5629</v>
      </c>
      <c r="B101" s="12" t="str">
        <f>'LIBERAÇÕES'!J67</f>
        <v>625145/04-001</v>
      </c>
      <c r="C101" s="19" t="s">
        <v>5630</v>
      </c>
      <c r="D101" s="16" t="str">
        <f>E104+#REF!+E105</f>
        <v>#REF!</v>
      </c>
      <c r="E101" s="13" t="s">
        <v>5631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4.25" customHeight="1">
      <c r="A102" s="15" t="s">
        <v>5632</v>
      </c>
      <c r="B102" s="181">
        <f>'LIBERAÇÕES'!K67</f>
        <v>46116</v>
      </c>
      <c r="C102" s="21" t="s">
        <v>5633</v>
      </c>
      <c r="D102" s="22" t="str">
        <f>D100-D101</f>
        <v>#REF!</v>
      </c>
      <c r="E102" s="134" t="str">
        <f>'LIBERAÇÕES'!H104</f>
        <v/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4.25" customHeight="1">
      <c r="A103" s="23" t="s">
        <v>1</v>
      </c>
      <c r="B103" s="23" t="s">
        <v>5634</v>
      </c>
      <c r="C103" s="23" t="s">
        <v>5635</v>
      </c>
      <c r="D103" s="23" t="s">
        <v>5636</v>
      </c>
      <c r="E103" s="24" t="s">
        <v>5637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4.25" customHeight="1">
      <c r="A104" s="25" t="s">
        <v>37</v>
      </c>
      <c r="B104" s="157" t="s">
        <v>6018</v>
      </c>
      <c r="C104" s="25" t="s">
        <v>34</v>
      </c>
      <c r="D104" s="159">
        <v>220.0</v>
      </c>
      <c r="E104" s="124">
        <v>220.0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4.25" customHeight="1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8"/>
      <c r="V105" s="5"/>
      <c r="W105" s="5"/>
      <c r="X105" s="5"/>
    </row>
    <row r="106" ht="14.25" customHeight="1">
      <c r="A106" s="7" t="s">
        <v>5621</v>
      </c>
      <c r="B106" s="8" t="s">
        <v>4978</v>
      </c>
      <c r="C106" s="7" t="s">
        <v>5622</v>
      </c>
      <c r="D106" s="12" t="s">
        <v>6019</v>
      </c>
      <c r="E106" s="10" t="str">
        <f>'LIBERAÇÕES'!L133</f>
        <v/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4.25" customHeight="1">
      <c r="A107" s="7" t="s">
        <v>5624</v>
      </c>
      <c r="B107" s="8" t="s">
        <v>6020</v>
      </c>
      <c r="C107" s="7" t="s">
        <v>5625</v>
      </c>
      <c r="D107" s="12" t="s">
        <v>6021</v>
      </c>
      <c r="E107" s="13" t="s">
        <v>5626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4.25" customHeight="1">
      <c r="A108" s="15" t="s">
        <v>5627</v>
      </c>
      <c r="B108" s="12" t="str">
        <f>'LIBERAÇÕES'!C95</f>
        <v/>
      </c>
      <c r="C108" s="15" t="s">
        <v>5628</v>
      </c>
      <c r="D108" s="123">
        <v>260.0</v>
      </c>
      <c r="E108" s="17" t="str">
        <f>'LIBERAÇÕES'!N133</f>
        <v/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4.25" customHeight="1">
      <c r="A109" s="15" t="s">
        <v>5629</v>
      </c>
      <c r="B109" s="12" t="str">
        <f>'LIBERAÇÕES'!J95</f>
        <v/>
      </c>
      <c r="C109" s="19" t="s">
        <v>5630</v>
      </c>
      <c r="D109" s="16">
        <f>E112+E113+E114</f>
        <v>260</v>
      </c>
      <c r="E109" s="13" t="s">
        <v>5631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4.25" customHeight="1">
      <c r="A110" s="15" t="s">
        <v>5632</v>
      </c>
      <c r="B110" s="12" t="str">
        <f>'LIBERAÇÕES'!K95</f>
        <v/>
      </c>
      <c r="C110" s="21" t="s">
        <v>5633</v>
      </c>
      <c r="D110" s="182">
        <f>D108-D109</f>
        <v>0</v>
      </c>
      <c r="E110" s="134" t="str">
        <f>'LIBERAÇÕES'!H113</f>
        <v/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4.25" customHeight="1">
      <c r="A111" s="23" t="s">
        <v>1</v>
      </c>
      <c r="B111" s="23" t="s">
        <v>5634</v>
      </c>
      <c r="C111" s="23" t="s">
        <v>5635</v>
      </c>
      <c r="D111" s="23" t="s">
        <v>5636</v>
      </c>
      <c r="E111" s="24" t="s">
        <v>5637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4.25" customHeight="1">
      <c r="A112" s="25" t="s">
        <v>37</v>
      </c>
      <c r="B112" s="157" t="s">
        <v>6022</v>
      </c>
      <c r="C112" s="25" t="s">
        <v>6</v>
      </c>
      <c r="D112" s="159">
        <v>560.0</v>
      </c>
      <c r="E112" s="124">
        <v>130.0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4.25" customHeight="1">
      <c r="A113" s="25" t="s">
        <v>37</v>
      </c>
      <c r="B113" s="157" t="s">
        <v>6023</v>
      </c>
      <c r="C113" s="160" t="s">
        <v>10</v>
      </c>
      <c r="D113" s="159">
        <v>560.0</v>
      </c>
      <c r="E113" s="161">
        <v>130.0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4.25" customHeight="1">
      <c r="A114" s="126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8"/>
      <c r="V114" s="5"/>
      <c r="W114" s="5"/>
      <c r="X114" s="5"/>
    </row>
    <row r="115" ht="14.25" customHeight="1">
      <c r="A115" s="7" t="s">
        <v>5621</v>
      </c>
      <c r="B115" s="8" t="s">
        <v>4978</v>
      </c>
      <c r="C115" s="7" t="s">
        <v>5622</v>
      </c>
      <c r="D115" s="12" t="str">
        <f>'LIBERAÇÕES'!F71</f>
        <v>ALG CÉU AZUL</v>
      </c>
      <c r="E115" s="10" t="str">
        <f>'LIBERAÇÕES'!L142</f>
        <v/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4.25" customHeight="1">
      <c r="A116" s="7" t="s">
        <v>5624</v>
      </c>
      <c r="B116" s="8" t="str">
        <f>'LIBERAÇÕES'!G71</f>
        <v>RONDONOPOLIS-MT</v>
      </c>
      <c r="C116" s="7" t="s">
        <v>5625</v>
      </c>
      <c r="D116" s="12" t="str">
        <f>'LIBERAÇÕES'!M71</f>
        <v>TBM LOG</v>
      </c>
      <c r="E116" s="13" t="s">
        <v>5626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4.25" customHeight="1">
      <c r="A117" s="15" t="s">
        <v>5627</v>
      </c>
      <c r="B117" s="12" t="str">
        <f>'LIBERAÇÕES'!C71</f>
        <v>COFCO</v>
      </c>
      <c r="C117" s="15" t="s">
        <v>5628</v>
      </c>
      <c r="D117" s="123">
        <f>'LIBERAÇÕES'!I71</f>
        <v>156</v>
      </c>
      <c r="E117" s="17" t="str">
        <f>'LIBERAÇÕES'!N142</f>
        <v/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4.25" customHeight="1">
      <c r="A118" s="15" t="s">
        <v>5629</v>
      </c>
      <c r="B118" s="12" t="str">
        <f>'LIBERAÇÕES'!J71</f>
        <v>WH-TBM-MAR26-06 </v>
      </c>
      <c r="C118" s="19" t="s">
        <v>5630</v>
      </c>
      <c r="D118" s="16" t="str">
        <f>E121+#REF!+E122</f>
        <v>#REF!</v>
      </c>
      <c r="E118" s="13" t="s">
        <v>5631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4.25" customHeight="1">
      <c r="A119" s="15" t="s">
        <v>5632</v>
      </c>
      <c r="B119" s="12" t="str">
        <f>'LIBERAÇÕES'!K104</f>
        <v/>
      </c>
      <c r="C119" s="21" t="s">
        <v>5633</v>
      </c>
      <c r="D119" s="182" t="str">
        <f>D117-D118</f>
        <v>#REF!</v>
      </c>
      <c r="E119" s="134" t="str">
        <f>'LIBERAÇÕES'!H122</f>
        <v/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4.25" customHeight="1">
      <c r="A120" s="23" t="s">
        <v>1</v>
      </c>
      <c r="B120" s="23" t="s">
        <v>5634</v>
      </c>
      <c r="C120" s="23" t="s">
        <v>5635</v>
      </c>
      <c r="D120" s="23" t="s">
        <v>5636</v>
      </c>
      <c r="E120" s="24" t="s">
        <v>5637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4.25" customHeight="1">
      <c r="A121" s="25" t="s">
        <v>37</v>
      </c>
      <c r="B121" s="157" t="s">
        <v>5936</v>
      </c>
      <c r="C121" s="25" t="s">
        <v>6</v>
      </c>
      <c r="D121" s="159">
        <v>200.0</v>
      </c>
      <c r="E121" s="124">
        <v>156.0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4.25" customHeight="1">
      <c r="A122" s="126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8"/>
      <c r="V122" s="5"/>
      <c r="W122" s="5"/>
      <c r="X122" s="5"/>
    </row>
    <row r="123" ht="14.25" customHeight="1">
      <c r="A123" s="7" t="s">
        <v>5621</v>
      </c>
      <c r="B123" s="8" t="s">
        <v>4978</v>
      </c>
      <c r="C123" s="7" t="s">
        <v>5622</v>
      </c>
      <c r="D123" s="12" t="s">
        <v>6019</v>
      </c>
      <c r="E123" s="10" t="str">
        <f>'LIBERAÇÕES'!L151</f>
        <v/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4.25" customHeight="1">
      <c r="A124" s="7" t="s">
        <v>5624</v>
      </c>
      <c r="B124" s="8" t="s">
        <v>6020</v>
      </c>
      <c r="C124" s="7" t="s">
        <v>5625</v>
      </c>
      <c r="D124" s="12" t="s">
        <v>6021</v>
      </c>
      <c r="E124" s="13" t="s">
        <v>5626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4.25" customHeight="1">
      <c r="A125" s="15" t="s">
        <v>5627</v>
      </c>
      <c r="B125" s="12" t="str">
        <f>'LIBERAÇÕES'!C113</f>
        <v/>
      </c>
      <c r="C125" s="15" t="s">
        <v>5628</v>
      </c>
      <c r="D125" s="123">
        <v>250.0</v>
      </c>
      <c r="E125" s="17" t="str">
        <f>'LIBERAÇÕES'!N151</f>
        <v/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4.25" customHeight="1">
      <c r="A126" s="15" t="s">
        <v>5629</v>
      </c>
      <c r="B126" s="12" t="str">
        <f>'LIBERAÇÕES'!J113</f>
        <v/>
      </c>
      <c r="C126" s="19" t="s">
        <v>5630</v>
      </c>
      <c r="D126" s="16">
        <f>E129+E130+E131</f>
        <v>250</v>
      </c>
      <c r="E126" s="13" t="s">
        <v>5631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4.25" customHeight="1">
      <c r="A127" s="15" t="s">
        <v>5632</v>
      </c>
      <c r="B127" s="12" t="str">
        <f>'LIBERAÇÕES'!K113</f>
        <v/>
      </c>
      <c r="C127" s="21" t="s">
        <v>5633</v>
      </c>
      <c r="D127" s="182">
        <f>D125-D126</f>
        <v>0</v>
      </c>
      <c r="E127" s="134" t="str">
        <f>'LIBERAÇÕES'!H131</f>
        <v/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4.25" customHeight="1">
      <c r="A128" s="23" t="s">
        <v>1</v>
      </c>
      <c r="B128" s="23" t="s">
        <v>5634</v>
      </c>
      <c r="C128" s="23" t="s">
        <v>5635</v>
      </c>
      <c r="D128" s="23" t="s">
        <v>5636</v>
      </c>
      <c r="E128" s="24" t="s">
        <v>5637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4.25" customHeight="1">
      <c r="A129" s="25" t="s">
        <v>37</v>
      </c>
      <c r="B129" s="157" t="s">
        <v>6024</v>
      </c>
      <c r="C129" s="25" t="s">
        <v>6</v>
      </c>
      <c r="D129" s="159">
        <v>590.0</v>
      </c>
      <c r="E129" s="124">
        <v>125.0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4.25" customHeight="1">
      <c r="A130" s="25" t="s">
        <v>37</v>
      </c>
      <c r="B130" s="157" t="s">
        <v>6025</v>
      </c>
      <c r="C130" s="160" t="s">
        <v>10</v>
      </c>
      <c r="D130" s="159">
        <v>590.0</v>
      </c>
      <c r="E130" s="161">
        <v>125.0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4.25" customHeight="1">
      <c r="A131" s="126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8"/>
      <c r="V131" s="5"/>
      <c r="W131" s="5"/>
      <c r="X131" s="5"/>
    </row>
    <row r="132" ht="14.25" customHeight="1">
      <c r="A132" s="7" t="s">
        <v>5621</v>
      </c>
      <c r="B132" s="8" t="str">
        <f>'LIBERAÇÕES'!E77</f>
        <v>SAPEZAL-MT</v>
      </c>
      <c r="C132" s="7" t="s">
        <v>5622</v>
      </c>
      <c r="D132" s="12" t="str">
        <f>'LIBERAÇÕES'!F77</f>
        <v>ALG SCHEFFER</v>
      </c>
      <c r="E132" s="10" t="str">
        <f>'LIBERAÇÕES'!L160</f>
        <v/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4.25" customHeight="1">
      <c r="A133" s="7" t="s">
        <v>5624</v>
      </c>
      <c r="B133" s="8" t="str">
        <f>'LIBERAÇÕES'!G77</f>
        <v>RONDONOPOLIS-MT</v>
      </c>
      <c r="C133" s="7" t="s">
        <v>5625</v>
      </c>
      <c r="D133" s="12" t="str">
        <f>'LIBERAÇÕES'!M77</f>
        <v>BRADO</v>
      </c>
      <c r="E133" s="13" t="s">
        <v>5626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4.25" customHeight="1">
      <c r="A134" s="15" t="s">
        <v>5627</v>
      </c>
      <c r="B134" s="12" t="str">
        <f>'LIBERAÇÕES'!C77</f>
        <v>SCHEFFER</v>
      </c>
      <c r="C134" s="15" t="s">
        <v>5628</v>
      </c>
      <c r="D134" s="123">
        <f>'LIBERAÇÕES'!I77</f>
        <v>330</v>
      </c>
      <c r="E134" s="17" t="str">
        <f>'LIBERAÇÕES'!N160</f>
        <v/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4.25" customHeight="1">
      <c r="A135" s="15" t="s">
        <v>5629</v>
      </c>
      <c r="B135" s="12" t="str">
        <f>'LIBERAÇÕES'!J77</f>
        <v>S51544.A02</v>
      </c>
      <c r="C135" s="19" t="s">
        <v>5630</v>
      </c>
      <c r="D135" s="16" t="str">
        <f>E138+E139+#REF!+#REF!</f>
        <v>#REF!</v>
      </c>
      <c r="E135" s="13" t="s">
        <v>5631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4.25" customHeight="1">
      <c r="A136" s="15" t="s">
        <v>5632</v>
      </c>
      <c r="B136" s="181">
        <f>'LIBERAÇÕES'!K77</f>
        <v>46131</v>
      </c>
      <c r="C136" s="21" t="s">
        <v>5633</v>
      </c>
      <c r="D136" s="182" t="str">
        <f>D134-D135</f>
        <v>#REF!</v>
      </c>
      <c r="E136" s="134">
        <f>'LIBERAÇÕES'!H77</f>
        <v>235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4.25" customHeight="1">
      <c r="A137" s="23" t="s">
        <v>1</v>
      </c>
      <c r="B137" s="23" t="s">
        <v>5634</v>
      </c>
      <c r="C137" s="23" t="s">
        <v>5635</v>
      </c>
      <c r="D137" s="23" t="s">
        <v>5636</v>
      </c>
      <c r="E137" s="24" t="s">
        <v>5637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4.25" customHeight="1">
      <c r="A138" s="25" t="s">
        <v>37</v>
      </c>
      <c r="B138" s="157" t="s">
        <v>6026</v>
      </c>
      <c r="C138" s="25" t="s">
        <v>26</v>
      </c>
      <c r="D138" s="159">
        <v>225.0</v>
      </c>
      <c r="E138" s="124">
        <v>165.0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4.25" customHeight="1">
      <c r="A139" s="25" t="s">
        <v>37</v>
      </c>
      <c r="B139" s="157" t="s">
        <v>6027</v>
      </c>
      <c r="C139" s="160" t="s">
        <v>26</v>
      </c>
      <c r="D139" s="159">
        <v>225.0</v>
      </c>
      <c r="E139" s="161">
        <v>165.0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4.25" customHeight="1">
      <c r="A140" s="126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8"/>
      <c r="V140" s="5"/>
      <c r="W140" s="5"/>
      <c r="X140" s="5"/>
    </row>
    <row r="141" ht="14.25" customHeight="1">
      <c r="A141" s="7" t="s">
        <v>5621</v>
      </c>
      <c r="B141" s="8" t="str">
        <f>'LIBERAÇÕES'!E78</f>
        <v>SAPEZAL-MT</v>
      </c>
      <c r="C141" s="7" t="s">
        <v>5622</v>
      </c>
      <c r="D141" s="12" t="str">
        <f>'LIBERAÇÕES'!F78</f>
        <v>ALG TRES LAGOAS</v>
      </c>
      <c r="E141" s="10" t="str">
        <f>'LIBERAÇÕES'!L171</f>
        <v/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4.25" customHeight="1">
      <c r="A142" s="7" t="s">
        <v>5624</v>
      </c>
      <c r="B142" s="8" t="str">
        <f>'LIBERAÇÕES'!G78</f>
        <v>RONDONOPOLIS-MT</v>
      </c>
      <c r="C142" s="7" t="s">
        <v>5625</v>
      </c>
      <c r="D142" s="12" t="str">
        <f>'LIBERAÇÕES'!M78</f>
        <v>BRADO</v>
      </c>
      <c r="E142" s="13" t="s">
        <v>5626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4.25" customHeight="1">
      <c r="A143" s="15" t="s">
        <v>5627</v>
      </c>
      <c r="B143" s="12" t="str">
        <f>'LIBERAÇÕES'!C78</f>
        <v>SCHEFFER</v>
      </c>
      <c r="C143" s="15" t="s">
        <v>5628</v>
      </c>
      <c r="D143" s="123">
        <f>'LIBERAÇÕES'!I78</f>
        <v>330</v>
      </c>
      <c r="E143" s="17" t="str">
        <f>'LIBERAÇÕES'!N171</f>
        <v/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4.25" customHeight="1">
      <c r="A144" s="15" t="s">
        <v>5629</v>
      </c>
      <c r="B144" s="12" t="str">
        <f>'LIBERAÇÕES'!J78</f>
        <v>S51544.A02</v>
      </c>
      <c r="C144" s="19" t="s">
        <v>5630</v>
      </c>
      <c r="D144" s="16" t="str">
        <f>E147+E148+#REF!+#REF!</f>
        <v>#REF!</v>
      </c>
      <c r="E144" s="13" t="s">
        <v>5631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4.25" customHeight="1">
      <c r="A145" s="15" t="s">
        <v>5632</v>
      </c>
      <c r="B145" s="181">
        <f>'LIBERAÇÕES'!K78</f>
        <v>46131</v>
      </c>
      <c r="C145" s="21" t="s">
        <v>5633</v>
      </c>
      <c r="D145" s="182" t="str">
        <f>D143-D144</f>
        <v>#REF!</v>
      </c>
      <c r="E145" s="134" t="str">
        <f>'LIBERAÇÕES'!H94</f>
        <v/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4.25" customHeight="1">
      <c r="A146" s="23" t="s">
        <v>1</v>
      </c>
      <c r="B146" s="23" t="s">
        <v>5634</v>
      </c>
      <c r="C146" s="23" t="s">
        <v>5635</v>
      </c>
      <c r="D146" s="23" t="s">
        <v>5636</v>
      </c>
      <c r="E146" s="24" t="s">
        <v>5637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4.25" customHeight="1">
      <c r="A147" s="25" t="s">
        <v>37</v>
      </c>
      <c r="B147" s="157" t="s">
        <v>6028</v>
      </c>
      <c r="C147" s="25" t="s">
        <v>34</v>
      </c>
      <c r="D147" s="159">
        <v>200.0</v>
      </c>
      <c r="E147" s="124">
        <v>220.0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4.25" customHeight="1">
      <c r="A148" s="25" t="s">
        <v>37</v>
      </c>
      <c r="B148" s="157" t="s">
        <v>6029</v>
      </c>
      <c r="C148" s="160" t="s">
        <v>6</v>
      </c>
      <c r="D148" s="159">
        <v>220.0</v>
      </c>
      <c r="E148" s="161">
        <v>110.0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4.25" customHeight="1">
      <c r="A149" s="126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8"/>
      <c r="V149" s="5"/>
      <c r="W149" s="5"/>
      <c r="X149" s="5"/>
    </row>
    <row r="150" ht="14.25" customHeight="1">
      <c r="A150" s="7" t="s">
        <v>5621</v>
      </c>
      <c r="B150" s="8" t="str">
        <f>'LIBERAÇÕES'!E79</f>
        <v>SAPEZAL-MT</v>
      </c>
      <c r="C150" s="7" t="s">
        <v>5622</v>
      </c>
      <c r="D150" s="12" t="str">
        <f>'LIBERAÇÕES'!F79</f>
        <v>ALG RAFAELA</v>
      </c>
      <c r="E150" s="10" t="str">
        <f>'LIBERAÇÕES'!L182</f>
        <v/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4.25" customHeight="1">
      <c r="A151" s="7" t="s">
        <v>5624</v>
      </c>
      <c r="B151" s="8" t="str">
        <f>'LIBERAÇÕES'!G79</f>
        <v>RONDONOPOLIS-MT</v>
      </c>
      <c r="C151" s="7" t="s">
        <v>5625</v>
      </c>
      <c r="D151" s="12" t="str">
        <f>'LIBERAÇÕES'!M79</f>
        <v>BRADO</v>
      </c>
      <c r="E151" s="13" t="s">
        <v>5626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4.25" customHeight="1">
      <c r="A152" s="15" t="s">
        <v>5627</v>
      </c>
      <c r="B152" s="12" t="str">
        <f>'LIBERAÇÕES'!C79</f>
        <v>SCHEFFER</v>
      </c>
      <c r="C152" s="15" t="s">
        <v>5628</v>
      </c>
      <c r="D152" s="123">
        <f>'LIBERAÇÕES'!I79</f>
        <v>396</v>
      </c>
      <c r="E152" s="17" t="str">
        <f>'LIBERAÇÕES'!N182</f>
        <v/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4.25" customHeight="1">
      <c r="A153" s="15" t="s">
        <v>5629</v>
      </c>
      <c r="B153" s="12" t="str">
        <f>'LIBERAÇÕES'!J79</f>
        <v>S51544.A02</v>
      </c>
      <c r="C153" s="19" t="s">
        <v>5630</v>
      </c>
      <c r="D153" s="16" t="str">
        <f>E156+E157+E158+#REF!</f>
        <v>#REF!</v>
      </c>
      <c r="E153" s="13" t="s">
        <v>5631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4.25" customHeight="1">
      <c r="A154" s="15" t="s">
        <v>5632</v>
      </c>
      <c r="B154" s="181">
        <f>'LIBERAÇÕES'!K79</f>
        <v>46131</v>
      </c>
      <c r="C154" s="21" t="s">
        <v>5633</v>
      </c>
      <c r="D154" s="182" t="str">
        <f>D152-D153</f>
        <v>#REF!</v>
      </c>
      <c r="E154" s="134" t="str">
        <f>'LIBERAÇÕES'!H105</f>
        <v/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4.25" customHeight="1">
      <c r="A155" s="23" t="s">
        <v>1</v>
      </c>
      <c r="B155" s="23" t="s">
        <v>5634</v>
      </c>
      <c r="C155" s="23" t="s">
        <v>5635</v>
      </c>
      <c r="D155" s="23" t="s">
        <v>5636</v>
      </c>
      <c r="E155" s="24" t="s">
        <v>5637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4.25" customHeight="1">
      <c r="A156" s="25" t="s">
        <v>37</v>
      </c>
      <c r="B156" s="157" t="s">
        <v>6030</v>
      </c>
      <c r="C156" s="25" t="s">
        <v>34</v>
      </c>
      <c r="D156" s="159">
        <v>200.0</v>
      </c>
      <c r="E156" s="124">
        <v>220.0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4.25" customHeight="1">
      <c r="A157" s="25" t="s">
        <v>37</v>
      </c>
      <c r="B157" s="157" t="s">
        <v>6031</v>
      </c>
      <c r="C157" s="160" t="s">
        <v>30</v>
      </c>
      <c r="D157" s="159">
        <v>200.0</v>
      </c>
      <c r="E157" s="161">
        <v>158.0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4.25" customHeight="1">
      <c r="A158" s="25" t="s">
        <v>37</v>
      </c>
      <c r="B158" s="157" t="s">
        <v>6029</v>
      </c>
      <c r="C158" s="160" t="s">
        <v>6</v>
      </c>
      <c r="D158" s="159">
        <v>220.0</v>
      </c>
      <c r="E158" s="161">
        <v>18.0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4.2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</row>
    <row r="160" ht="14.2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4.25" customHeight="1">
      <c r="A162" s="7" t="s">
        <v>5621</v>
      </c>
      <c r="B162" s="8" t="s">
        <v>6032</v>
      </c>
      <c r="C162" s="7" t="s">
        <v>5622</v>
      </c>
      <c r="D162" s="12" t="s">
        <v>6033</v>
      </c>
      <c r="E162" s="184" t="s">
        <v>6034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4.25" customHeight="1">
      <c r="A163" s="7" t="s">
        <v>5624</v>
      </c>
      <c r="B163" s="8" t="s">
        <v>6035</v>
      </c>
      <c r="C163" s="7" t="s">
        <v>5625</v>
      </c>
      <c r="D163" s="12" t="s">
        <v>5672</v>
      </c>
      <c r="E163" s="13" t="s">
        <v>5626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4.25" customHeight="1">
      <c r="A164" s="15" t="s">
        <v>5627</v>
      </c>
      <c r="B164" s="12" t="s">
        <v>3492</v>
      </c>
      <c r="C164" s="15" t="s">
        <v>5628</v>
      </c>
      <c r="D164" s="123">
        <v>828.0</v>
      </c>
      <c r="E164" s="134" t="s">
        <v>5666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4.25" customHeight="1">
      <c r="A165" s="15" t="s">
        <v>5629</v>
      </c>
      <c r="B165" s="12" t="s">
        <v>6036</v>
      </c>
      <c r="C165" s="19" t="s">
        <v>5630</v>
      </c>
      <c r="D165" s="16">
        <f>SUM(E168:E173)</f>
        <v>828</v>
      </c>
      <c r="E165" s="13" t="s">
        <v>5631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4.25" customHeight="1">
      <c r="A166" s="15" t="s">
        <v>5632</v>
      </c>
      <c r="B166" s="181">
        <v>46144.0</v>
      </c>
      <c r="C166" s="21" t="s">
        <v>5633</v>
      </c>
      <c r="D166" s="22">
        <f>D164-D165</f>
        <v>0</v>
      </c>
      <c r="E166" s="134">
        <v>230.0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4.25" customHeight="1">
      <c r="A167" s="23" t="s">
        <v>1</v>
      </c>
      <c r="B167" s="23" t="s">
        <v>5634</v>
      </c>
      <c r="C167" s="23" t="s">
        <v>5635</v>
      </c>
      <c r="D167" s="23" t="s">
        <v>5636</v>
      </c>
      <c r="E167" s="24" t="s">
        <v>5637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4.25" customHeight="1">
      <c r="A168" s="25" t="s">
        <v>41</v>
      </c>
      <c r="B168" s="135" t="s">
        <v>6037</v>
      </c>
      <c r="C168" s="25" t="s">
        <v>6</v>
      </c>
      <c r="D168" s="125">
        <v>210.0</v>
      </c>
      <c r="E168" s="136">
        <v>135.0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4.25" customHeight="1">
      <c r="A169" s="25" t="s">
        <v>33</v>
      </c>
      <c r="B169" s="124" t="s">
        <v>6038</v>
      </c>
      <c r="C169" s="25" t="s">
        <v>26</v>
      </c>
      <c r="D169" s="125">
        <v>210.0</v>
      </c>
      <c r="E169" s="136">
        <v>157.0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4.25" customHeight="1">
      <c r="A170" s="25" t="s">
        <v>53</v>
      </c>
      <c r="B170" s="124" t="s">
        <v>6039</v>
      </c>
      <c r="C170" s="25" t="s">
        <v>6</v>
      </c>
      <c r="D170" s="125">
        <v>210.0</v>
      </c>
      <c r="E170" s="136">
        <v>128.0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4.25" customHeight="1">
      <c r="A171" s="25" t="s">
        <v>53</v>
      </c>
      <c r="B171" s="124" t="s">
        <v>6040</v>
      </c>
      <c r="C171" s="25" t="s">
        <v>26</v>
      </c>
      <c r="D171" s="125">
        <v>210.0</v>
      </c>
      <c r="E171" s="136">
        <v>158.0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4.25" customHeight="1">
      <c r="A172" s="25" t="s">
        <v>53</v>
      </c>
      <c r="B172" s="124" t="s">
        <v>6041</v>
      </c>
      <c r="C172" s="25" t="s">
        <v>6</v>
      </c>
      <c r="D172" s="125">
        <v>210.0</v>
      </c>
      <c r="E172" s="136">
        <v>120.0</v>
      </c>
      <c r="F172" s="13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4.25" customHeight="1">
      <c r="A173" s="25" t="s">
        <v>21</v>
      </c>
      <c r="B173" s="124" t="s">
        <v>6042</v>
      </c>
      <c r="C173" s="25" t="s">
        <v>6</v>
      </c>
      <c r="D173" s="125">
        <v>210.0</v>
      </c>
      <c r="E173" s="124">
        <v>130.0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4.25" customHeight="1">
      <c r="A174" s="133"/>
      <c r="B174" s="133"/>
      <c r="C174" s="133"/>
      <c r="D174" s="133"/>
      <c r="E174" s="133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4.25" customHeight="1">
      <c r="A175" s="7" t="s">
        <v>5621</v>
      </c>
      <c r="B175" s="8" t="s">
        <v>6032</v>
      </c>
      <c r="C175" s="7" t="s">
        <v>5622</v>
      </c>
      <c r="D175" s="12" t="s">
        <v>6043</v>
      </c>
      <c r="E175" s="184" t="s">
        <v>6044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4.25" customHeight="1">
      <c r="A176" s="7" t="s">
        <v>5624</v>
      </c>
      <c r="B176" s="8" t="s">
        <v>6035</v>
      </c>
      <c r="C176" s="7" t="s">
        <v>5625</v>
      </c>
      <c r="D176" s="12" t="s">
        <v>5672</v>
      </c>
      <c r="E176" s="13" t="s">
        <v>5626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4.25" customHeight="1">
      <c r="A177" s="15" t="s">
        <v>5627</v>
      </c>
      <c r="B177" s="12" t="s">
        <v>3492</v>
      </c>
      <c r="C177" s="15" t="s">
        <v>5628</v>
      </c>
      <c r="D177" s="123">
        <v>475.0</v>
      </c>
      <c r="E177" s="134" t="s">
        <v>5666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4.25" customHeight="1">
      <c r="A178" s="15" t="s">
        <v>5629</v>
      </c>
      <c r="B178" s="12" t="s">
        <v>6036</v>
      </c>
      <c r="C178" s="19" t="s">
        <v>5630</v>
      </c>
      <c r="D178" s="16">
        <f>SUM(E181:E186)</f>
        <v>475</v>
      </c>
      <c r="E178" s="13" t="s">
        <v>5631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4.25" customHeight="1">
      <c r="A179" s="15" t="s">
        <v>5632</v>
      </c>
      <c r="B179" s="181">
        <v>46144.0</v>
      </c>
      <c r="C179" s="21" t="s">
        <v>5633</v>
      </c>
      <c r="D179" s="22">
        <f>D177-D178</f>
        <v>0</v>
      </c>
      <c r="E179" s="134">
        <v>230.0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4.25" customHeight="1">
      <c r="A180" s="23" t="s">
        <v>1</v>
      </c>
      <c r="B180" s="23" t="s">
        <v>5634</v>
      </c>
      <c r="C180" s="23" t="s">
        <v>5635</v>
      </c>
      <c r="D180" s="23" t="s">
        <v>5636</v>
      </c>
      <c r="E180" s="24" t="s">
        <v>5637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4.25" customHeight="1">
      <c r="A181" s="25" t="s">
        <v>41</v>
      </c>
      <c r="B181" s="135" t="s">
        <v>6045</v>
      </c>
      <c r="C181" s="25" t="s">
        <v>10</v>
      </c>
      <c r="D181" s="125">
        <v>220.0</v>
      </c>
      <c r="E181" s="136">
        <v>128.0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4.25" customHeight="1">
      <c r="A182" s="25" t="s">
        <v>53</v>
      </c>
      <c r="B182" s="135" t="s">
        <v>6046</v>
      </c>
      <c r="C182" s="25" t="s">
        <v>6</v>
      </c>
      <c r="D182" s="125">
        <v>210.0</v>
      </c>
      <c r="E182" s="136">
        <v>127.0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4.25" customHeight="1">
      <c r="A183" s="25" t="s">
        <v>33</v>
      </c>
      <c r="B183" s="124" t="s">
        <v>6047</v>
      </c>
      <c r="C183" s="25" t="s">
        <v>34</v>
      </c>
      <c r="D183" s="125">
        <v>200.0</v>
      </c>
      <c r="E183" s="136">
        <v>220.0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4.25" customHeight="1">
      <c r="A184" s="25"/>
      <c r="B184" s="124"/>
      <c r="C184" s="25"/>
      <c r="D184" s="125"/>
      <c r="E184" s="1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4.25" customHeight="1">
      <c r="A185" s="25"/>
      <c r="B185" s="124"/>
      <c r="C185" s="25"/>
      <c r="D185" s="125"/>
      <c r="E185" s="1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4.25" customHeight="1">
      <c r="A186" s="25"/>
      <c r="B186" s="124"/>
      <c r="C186" s="25"/>
      <c r="D186" s="125"/>
      <c r="E186" s="12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4.25" customHeight="1">
      <c r="A187" s="133"/>
      <c r="B187" s="133"/>
      <c r="C187" s="133"/>
      <c r="D187" s="133"/>
      <c r="E187" s="133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4.25" customHeight="1">
      <c r="A188" s="7" t="s">
        <v>5621</v>
      </c>
      <c r="B188" s="8" t="s">
        <v>6032</v>
      </c>
      <c r="C188" s="7" t="s">
        <v>5622</v>
      </c>
      <c r="D188" s="12" t="s">
        <v>6033</v>
      </c>
      <c r="E188" s="10" t="str">
        <f>'LIBERAÇÕES'!L196</f>
        <v/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4.25" customHeight="1">
      <c r="A189" s="7" t="s">
        <v>5624</v>
      </c>
      <c r="B189" s="8" t="s">
        <v>6035</v>
      </c>
      <c r="C189" s="7" t="s">
        <v>5625</v>
      </c>
      <c r="D189" s="12" t="s">
        <v>5672</v>
      </c>
      <c r="E189" s="13" t="s">
        <v>5626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4.25" customHeight="1">
      <c r="A190" s="15" t="s">
        <v>5627</v>
      </c>
      <c r="B190" s="12" t="s">
        <v>3492</v>
      </c>
      <c r="C190" s="15" t="s">
        <v>5628</v>
      </c>
      <c r="D190" s="123">
        <v>202.0</v>
      </c>
      <c r="E190" s="134" t="s">
        <v>5666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4.25" customHeight="1">
      <c r="A191" s="15" t="s">
        <v>5629</v>
      </c>
      <c r="B191" s="12" t="s">
        <v>6048</v>
      </c>
      <c r="C191" s="19" t="s">
        <v>5630</v>
      </c>
      <c r="D191" s="16">
        <f>SUM(E194:E199)</f>
        <v>202</v>
      </c>
      <c r="E191" s="13" t="s">
        <v>5631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4.25" customHeight="1">
      <c r="A192" s="15" t="s">
        <v>5632</v>
      </c>
      <c r="B192" s="12" t="s">
        <v>6049</v>
      </c>
      <c r="C192" s="21" t="s">
        <v>5633</v>
      </c>
      <c r="D192" s="22">
        <f>D190-D191</f>
        <v>0</v>
      </c>
      <c r="E192" s="134">
        <v>230.0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4.25" customHeight="1">
      <c r="A193" s="23" t="s">
        <v>1</v>
      </c>
      <c r="B193" s="23" t="s">
        <v>5634</v>
      </c>
      <c r="C193" s="23" t="s">
        <v>5635</v>
      </c>
      <c r="D193" s="23" t="s">
        <v>5636</v>
      </c>
      <c r="E193" s="24" t="s">
        <v>5637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4.25" customHeight="1">
      <c r="A194" s="25" t="s">
        <v>53</v>
      </c>
      <c r="B194" s="135" t="s">
        <v>6050</v>
      </c>
      <c r="C194" s="25" t="s">
        <v>34</v>
      </c>
      <c r="D194" s="125">
        <v>200.0</v>
      </c>
      <c r="E194" s="136">
        <v>202.0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4.25" customHeight="1">
      <c r="A195" s="25"/>
      <c r="B195" s="124"/>
      <c r="C195" s="25"/>
      <c r="D195" s="125"/>
      <c r="E195" s="1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4.25" customHeight="1">
      <c r="A196" s="25"/>
      <c r="B196" s="124"/>
      <c r="C196" s="25"/>
      <c r="D196" s="125"/>
      <c r="E196" s="1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4.25" customHeight="1">
      <c r="A197" s="25"/>
      <c r="B197" s="124"/>
      <c r="C197" s="25"/>
      <c r="D197" s="125"/>
      <c r="E197" s="1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4.25" customHeight="1">
      <c r="A198" s="25"/>
      <c r="B198" s="124"/>
      <c r="C198" s="25"/>
      <c r="D198" s="125"/>
      <c r="E198" s="1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4.25" customHeight="1">
      <c r="A199" s="25"/>
      <c r="B199" s="124"/>
      <c r="C199" s="25"/>
      <c r="D199" s="125"/>
      <c r="E199" s="124"/>
      <c r="F199" s="5"/>
      <c r="G199" s="5"/>
      <c r="H199" s="5"/>
      <c r="I199" s="5"/>
      <c r="J199" s="5"/>
      <c r="K199" s="5"/>
      <c r="L199" s="5"/>
      <c r="M199" s="18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4.25" customHeight="1">
      <c r="A200" s="133"/>
      <c r="B200" s="133"/>
      <c r="C200" s="133"/>
      <c r="D200" s="133"/>
      <c r="E200" s="133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4.25" customHeight="1">
      <c r="A201" s="7" t="s">
        <v>5621</v>
      </c>
      <c r="B201" s="8" t="s">
        <v>6032</v>
      </c>
      <c r="C201" s="7" t="s">
        <v>5622</v>
      </c>
      <c r="D201" s="12" t="s">
        <v>6051</v>
      </c>
      <c r="E201" s="184" t="s">
        <v>6052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4.25" customHeight="1">
      <c r="A202" s="7" t="s">
        <v>5624</v>
      </c>
      <c r="B202" s="8" t="s">
        <v>6035</v>
      </c>
      <c r="C202" s="7" t="s">
        <v>5625</v>
      </c>
      <c r="D202" s="12" t="s">
        <v>5672</v>
      </c>
      <c r="E202" s="13" t="s">
        <v>5626</v>
      </c>
      <c r="F202" s="18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4.25" customHeight="1">
      <c r="A203" s="15" t="s">
        <v>5627</v>
      </c>
      <c r="B203" s="12" t="s">
        <v>3492</v>
      </c>
      <c r="C203" s="15" t="s">
        <v>5628</v>
      </c>
      <c r="D203" s="123">
        <v>110.0</v>
      </c>
      <c r="E203" s="134" t="s">
        <v>5666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4.25" customHeight="1">
      <c r="A204" s="15" t="s">
        <v>5629</v>
      </c>
      <c r="B204" s="12" t="s">
        <v>6048</v>
      </c>
      <c r="C204" s="19" t="s">
        <v>5630</v>
      </c>
      <c r="D204" s="16">
        <f>SUM(E207)</f>
        <v>110</v>
      </c>
      <c r="E204" s="13" t="s">
        <v>5631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4.25" customHeight="1">
      <c r="A205" s="15" t="s">
        <v>5632</v>
      </c>
      <c r="B205" s="12" t="s">
        <v>6049</v>
      </c>
      <c r="C205" s="21" t="s">
        <v>5633</v>
      </c>
      <c r="D205" s="22">
        <f>D203-D204</f>
        <v>0</v>
      </c>
      <c r="E205" s="134">
        <v>230.0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4.25" customHeight="1">
      <c r="A206" s="23" t="s">
        <v>1</v>
      </c>
      <c r="B206" s="23" t="s">
        <v>5634</v>
      </c>
      <c r="C206" s="23" t="s">
        <v>5635</v>
      </c>
      <c r="D206" s="23" t="s">
        <v>5636</v>
      </c>
      <c r="E206" s="24" t="s">
        <v>5637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4.25" customHeight="1">
      <c r="A207" s="25" t="s">
        <v>53</v>
      </c>
      <c r="B207" s="135" t="s">
        <v>6053</v>
      </c>
      <c r="C207" s="25" t="s">
        <v>34</v>
      </c>
      <c r="D207" s="125">
        <v>210.0</v>
      </c>
      <c r="E207" s="136">
        <v>110.0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4.25" customHeight="1">
      <c r="A208" s="186"/>
      <c r="B208" s="186"/>
      <c r="C208" s="186"/>
      <c r="D208" s="186"/>
      <c r="E208" s="186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</row>
    <row r="209" ht="14.25" customHeight="1">
      <c r="A209" s="133"/>
      <c r="B209" s="133"/>
      <c r="C209" s="133"/>
      <c r="D209" s="133"/>
      <c r="E209" s="133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4.25" customHeight="1">
      <c r="A210" s="7" t="s">
        <v>5621</v>
      </c>
      <c r="B210" s="8" t="s">
        <v>6032</v>
      </c>
      <c r="C210" s="7" t="s">
        <v>5622</v>
      </c>
      <c r="D210" s="12" t="s">
        <v>6043</v>
      </c>
      <c r="E210" s="10" t="str">
        <f>'LIBERAÇÕES'!L222</f>
        <v/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4.25" customHeight="1">
      <c r="A211" s="7" t="s">
        <v>5624</v>
      </c>
      <c r="B211" s="8" t="s">
        <v>6035</v>
      </c>
      <c r="C211" s="7" t="s">
        <v>5625</v>
      </c>
      <c r="D211" s="12" t="s">
        <v>5672</v>
      </c>
      <c r="E211" s="13" t="s">
        <v>5626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4.25" customHeight="1">
      <c r="A212" s="15" t="s">
        <v>5627</v>
      </c>
      <c r="B212" s="12" t="s">
        <v>3492</v>
      </c>
      <c r="C212" s="15" t="s">
        <v>5628</v>
      </c>
      <c r="D212" s="123">
        <v>104.0</v>
      </c>
      <c r="E212" s="134" t="s">
        <v>5666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4.25" customHeight="1">
      <c r="A213" s="15" t="s">
        <v>5629</v>
      </c>
      <c r="B213" s="12" t="s">
        <v>6048</v>
      </c>
      <c r="C213" s="19" t="s">
        <v>5630</v>
      </c>
      <c r="D213" s="16">
        <f>SUM(E216)</f>
        <v>104</v>
      </c>
      <c r="E213" s="13" t="s">
        <v>5631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4.25" customHeight="1">
      <c r="A214" s="15" t="s">
        <v>5632</v>
      </c>
      <c r="B214" s="12" t="s">
        <v>6049</v>
      </c>
      <c r="C214" s="21" t="s">
        <v>5633</v>
      </c>
      <c r="D214" s="22">
        <f>D212-D213</f>
        <v>0</v>
      </c>
      <c r="E214" s="134">
        <v>230.0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4.25" customHeight="1">
      <c r="A215" s="23" t="s">
        <v>1</v>
      </c>
      <c r="B215" s="23" t="s">
        <v>5634</v>
      </c>
      <c r="C215" s="23" t="s">
        <v>5635</v>
      </c>
      <c r="D215" s="23" t="s">
        <v>5636</v>
      </c>
      <c r="E215" s="24" t="s">
        <v>5637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4.25" customHeight="1">
      <c r="A216" s="25" t="s">
        <v>33</v>
      </c>
      <c r="B216" s="124" t="s">
        <v>6053</v>
      </c>
      <c r="C216" s="25" t="s">
        <v>34</v>
      </c>
      <c r="D216" s="125">
        <v>210.0</v>
      </c>
      <c r="E216" s="136">
        <v>104.0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</sheetData>
  <mergeCells count="16">
    <mergeCell ref="A8:U8"/>
    <mergeCell ref="A17:U17"/>
    <mergeCell ref="A30:U30"/>
    <mergeCell ref="A38:U38"/>
    <mergeCell ref="A50:U50"/>
    <mergeCell ref="A58:U58"/>
    <mergeCell ref="A68:U68"/>
    <mergeCell ref="A140:U140"/>
    <mergeCell ref="A149:U149"/>
    <mergeCell ref="A76:U76"/>
    <mergeCell ref="A85:U85"/>
    <mergeCell ref="A97:U97"/>
    <mergeCell ref="A105:U105"/>
    <mergeCell ref="A114:U114"/>
    <mergeCell ref="A122:U122"/>
    <mergeCell ref="A131:U131"/>
  </mergeCells>
  <conditionalFormatting sqref="E1 E9 E18 E31 E39 E51 E59 E77 E86 E98 E106 E115 E123 E132 E141 E150 E162 E175 E188 E201 E210">
    <cfRule type="cellIs" dxfId="0" priority="1" operator="between">
      <formula>6</formula>
      <formula>9</formula>
    </cfRule>
  </conditionalFormatting>
  <conditionalFormatting sqref="E1 E9 E18 E31 E39 E51 E59 E77 E86 E98 E106 E115 E123 E132 E141 E150 E162 E175 E188 E201 E210">
    <cfRule type="cellIs" dxfId="1" priority="2" operator="lessThanOrEqual">
      <formula>5</formula>
    </cfRule>
  </conditionalFormatting>
  <conditionalFormatting sqref="E1 E9 E18 E31 E39 E51 E59 E77 E86 E98 E106 E115 E123 E132 E141 E150 E162 E175 E188 E201 E210">
    <cfRule type="cellIs" dxfId="2" priority="3" operator="greaterThanOrEqual">
      <formula>10</formula>
    </cfRule>
  </conditionalFormatting>
  <dataValidations>
    <dataValidation type="list" allowBlank="1" showErrorMessage="1" sqref="A7 A15:A16 A24:A29 A37 A45:A49 A57 A65:A67 A75 A83:A84 A92:A96 A104 A112:A113 A121 A129:A130 A138:A139 A147:A148 A156:A158 A168:A173 A181:A186 A194:A199 A207 A216">
      <formula1>BASE!$C$2:$C$16</formula1>
    </dataValidation>
    <dataValidation type="list" allowBlank="1" showErrorMessage="1" sqref="C7 C15:C16 C24:C29 C37 C45:C49 C57 C65:C67 C75 C83:C84 C92:C96 C104 C112:C113 C121 C129:C130 C138:C139 C147:C148 C156:C158 C168:C173 C181:C186 C194:C199 C207 C216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5.29"/>
    <col customWidth="1" min="2" max="2" width="32.14"/>
    <col customWidth="1" min="3" max="3" width="32.57"/>
    <col customWidth="1" min="4" max="4" width="24.0"/>
    <col customWidth="1" min="5" max="5" width="19.86"/>
    <col customWidth="1" min="6" max="6" width="42.43"/>
    <col customWidth="1" min="7" max="26" width="8.71"/>
  </cols>
  <sheetData>
    <row r="1" ht="14.25" customHeight="1">
      <c r="A1" s="7" t="s">
        <v>5621</v>
      </c>
      <c r="B1" s="8" t="str">
        <f>'LIBERAÇÕES'!E25</f>
        <v>RONDONOPOLIS-MT</v>
      </c>
      <c r="C1" s="7" t="s">
        <v>5622</v>
      </c>
      <c r="D1" s="12" t="str">
        <f>'LIBERAÇÕES'!F25</f>
        <v>ALG TBM LOG</v>
      </c>
      <c r="E1" s="10">
        <f>'LIBERAÇÕES'!L20</f>
        <v>-69</v>
      </c>
      <c r="F1" s="11" t="s">
        <v>5623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 t="s">
        <v>5624</v>
      </c>
      <c r="B2" s="8" t="str">
        <f>'LIBERAÇÕES'!G25</f>
        <v>HORIZONTE-CE</v>
      </c>
      <c r="C2" s="7" t="s">
        <v>5625</v>
      </c>
      <c r="D2" s="12" t="str">
        <f>'LIBERAÇÕES'!M25</f>
        <v>SANTANA</v>
      </c>
      <c r="E2" s="13" t="s">
        <v>5626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5" t="s">
        <v>5627</v>
      </c>
      <c r="B3" s="12" t="str">
        <f>'LIBERAÇÕES'!C25</f>
        <v>COFCO</v>
      </c>
      <c r="C3" s="15" t="s">
        <v>5628</v>
      </c>
      <c r="D3" s="16">
        <f>'LIBERAÇÕES'!I25</f>
        <v>128</v>
      </c>
      <c r="E3" s="17" t="str">
        <f>'LIBERAÇÕES'!N25</f>
        <v>FARDÃO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5" t="s">
        <v>5629</v>
      </c>
      <c r="B4" s="18" t="str">
        <f>'LIBERAÇÕES'!J25</f>
        <v>WH_STN_CONSIG-FEV-01-SANTANA</v>
      </c>
      <c r="C4" s="19" t="s">
        <v>5630</v>
      </c>
      <c r="D4" s="16">
        <f>SUM(E7:E11)</f>
        <v>128</v>
      </c>
      <c r="E4" s="13" t="s">
        <v>5631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5" t="s">
        <v>5632</v>
      </c>
      <c r="B5" s="20">
        <f>'LIBERAÇÕES'!K25</f>
        <v>46071</v>
      </c>
      <c r="C5" s="21" t="s">
        <v>5633</v>
      </c>
      <c r="D5" s="22">
        <f>D3-D4</f>
        <v>0</v>
      </c>
      <c r="E5" s="17">
        <f>'LIBERAÇÕES'!H25</f>
        <v>990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3" t="s">
        <v>1</v>
      </c>
      <c r="B6" s="23" t="s">
        <v>5634</v>
      </c>
      <c r="C6" s="23" t="s">
        <v>5635</v>
      </c>
      <c r="D6" s="23" t="s">
        <v>5636</v>
      </c>
      <c r="E6" s="24" t="s">
        <v>5637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5" t="s">
        <v>37</v>
      </c>
      <c r="B7" s="124" t="s">
        <v>6054</v>
      </c>
      <c r="C7" s="25" t="s">
        <v>10</v>
      </c>
      <c r="D7" s="125" t="s">
        <v>6055</v>
      </c>
      <c r="E7" s="124">
        <v>128.0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5"/>
      <c r="B8" s="124"/>
      <c r="C8" s="34"/>
      <c r="D8" s="125"/>
      <c r="E8" s="12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5"/>
      <c r="B9" s="36"/>
      <c r="C9" s="34"/>
      <c r="D9" s="35"/>
      <c r="E9" s="12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25"/>
      <c r="B10" s="36"/>
      <c r="C10" s="34"/>
      <c r="D10" s="35"/>
      <c r="E10" s="3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5"/>
      <c r="B11" s="36"/>
      <c r="C11" s="34"/>
      <c r="D11" s="35"/>
      <c r="E11" s="3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hidden="1" customHeight="1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8"/>
      <c r="X12" s="5"/>
      <c r="Y12" s="5"/>
      <c r="Z12" s="5"/>
    </row>
    <row r="13" ht="14.25" hidden="1" customHeight="1">
      <c r="A13" s="7" t="s">
        <v>5621</v>
      </c>
      <c r="B13" s="8" t="str">
        <f>'LIBERAÇÕES'!E26</f>
        <v>RONDONOPOLIS-MT</v>
      </c>
      <c r="C13" s="7" t="s">
        <v>5622</v>
      </c>
      <c r="D13" s="12" t="str">
        <f>'LIBERAÇÕES'!F26</f>
        <v>ALG TBM LOG</v>
      </c>
      <c r="E13" s="10">
        <f>'LIBERAÇÕES'!L26</f>
        <v>-71</v>
      </c>
      <c r="F13" s="11" t="s">
        <v>5623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hidden="1" customHeight="1">
      <c r="A14" s="7" t="s">
        <v>5624</v>
      </c>
      <c r="B14" s="8" t="str">
        <f>'LIBERAÇÕES'!G26</f>
        <v>SANTOS-SP</v>
      </c>
      <c r="C14" s="7" t="s">
        <v>5625</v>
      </c>
      <c r="D14" s="12" t="str">
        <f>'LIBERAÇÕES'!M26</f>
        <v>CONLINE</v>
      </c>
      <c r="E14" s="13" t="s">
        <v>5626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hidden="1" customHeight="1">
      <c r="A15" s="15" t="s">
        <v>5627</v>
      </c>
      <c r="B15" s="12" t="str">
        <f>'LIBERAÇÕES'!C26</f>
        <v>COFCO</v>
      </c>
      <c r="C15" s="15" t="s">
        <v>5628</v>
      </c>
      <c r="D15" s="16">
        <f>'LIBERAÇÕES'!I26</f>
        <v>0</v>
      </c>
      <c r="E15" s="17" t="str">
        <f>'LIBERAÇÕES'!N26</f>
        <v>FARDÃO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hidden="1" customHeight="1">
      <c r="A16" s="15" t="s">
        <v>5629</v>
      </c>
      <c r="B16" s="18" t="str">
        <f>'LIBERAÇÕES'!J26</f>
        <v>WH-S07405-JAN-01</v>
      </c>
      <c r="C16" s="19" t="s">
        <v>5630</v>
      </c>
      <c r="D16" s="16">
        <f>SUM(E19:E28)</f>
        <v>0</v>
      </c>
      <c r="E16" s="13" t="s">
        <v>5631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hidden="1" customHeight="1">
      <c r="A17" s="15" t="s">
        <v>5632</v>
      </c>
      <c r="B17" s="20">
        <f>'LIBERAÇÕES'!K26</f>
        <v>46071</v>
      </c>
      <c r="C17" s="21" t="s">
        <v>5633</v>
      </c>
      <c r="D17" s="22">
        <f>D15-D16</f>
        <v>0</v>
      </c>
      <c r="E17" s="17">
        <f>'LIBERAÇÕES'!H26</f>
        <v>585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hidden="1" customHeight="1">
      <c r="A18" s="23" t="s">
        <v>1</v>
      </c>
      <c r="B18" s="23" t="s">
        <v>5634</v>
      </c>
      <c r="C18" s="23" t="s">
        <v>5635</v>
      </c>
      <c r="D18" s="23" t="s">
        <v>5636</v>
      </c>
      <c r="E18" s="24" t="s">
        <v>5637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hidden="1" customHeight="1">
      <c r="A19" s="25"/>
      <c r="B19" s="124"/>
      <c r="C19" s="25"/>
      <c r="D19" s="125"/>
      <c r="E19" s="12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hidden="1" customHeight="1">
      <c r="A20" s="25"/>
      <c r="B20" s="124"/>
      <c r="C20" s="34"/>
      <c r="D20" s="125"/>
      <c r="E20" s="12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hidden="1" customHeight="1">
      <c r="A21" s="25"/>
      <c r="B21" s="36"/>
      <c r="C21" s="34"/>
      <c r="D21" s="35"/>
      <c r="E21" s="12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hidden="1" customHeight="1">
      <c r="A22" s="25"/>
      <c r="B22" s="36"/>
      <c r="C22" s="34"/>
      <c r="D22" s="35"/>
      <c r="E22" s="12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hidden="1" customHeight="1">
      <c r="A23" s="25"/>
      <c r="B23" s="36"/>
      <c r="C23" s="34"/>
      <c r="D23" s="35"/>
      <c r="E23" s="12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hidden="1" customHeight="1">
      <c r="A24" s="25"/>
      <c r="B24" s="36"/>
      <c r="C24" s="34"/>
      <c r="D24" s="35"/>
      <c r="E24" s="12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hidden="1" customHeight="1">
      <c r="A25" s="25"/>
      <c r="B25" s="36"/>
      <c r="C25" s="34"/>
      <c r="D25" s="35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hidden="1" customHeight="1">
      <c r="A26" s="25"/>
      <c r="B26" s="36"/>
      <c r="C26" s="34"/>
      <c r="D26" s="35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hidden="1" customHeight="1">
      <c r="A27" s="25"/>
      <c r="B27" s="36"/>
      <c r="C27" s="34"/>
      <c r="D27" s="35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hidden="1" customHeight="1">
      <c r="A28" s="25"/>
      <c r="B28" s="36"/>
      <c r="C28" s="34"/>
      <c r="D28" s="35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hidden="1" customHeight="1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8"/>
      <c r="X29" s="5"/>
      <c r="Y29" s="5"/>
      <c r="Z29" s="5"/>
    </row>
    <row r="30" ht="14.25" hidden="1" customHeight="1">
      <c r="A30" s="7" t="s">
        <v>5621</v>
      </c>
      <c r="B30" s="8" t="str">
        <f>'LIBERAÇÕES'!E27</f>
        <v>RONDONOPOLIS-MT</v>
      </c>
      <c r="C30" s="7" t="s">
        <v>5622</v>
      </c>
      <c r="D30" s="12" t="str">
        <f>'LIBERAÇÕES'!F27</f>
        <v>ALG TBM LOG</v>
      </c>
      <c r="E30" s="10">
        <f>'LIBERAÇÕES'!L27</f>
        <v>-71</v>
      </c>
      <c r="F30" s="11" t="s">
        <v>5623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hidden="1" customHeight="1">
      <c r="A31" s="7" t="s">
        <v>5624</v>
      </c>
      <c r="B31" s="8" t="str">
        <f>'LIBERAÇÕES'!G27</f>
        <v>GUARUJA-SP</v>
      </c>
      <c r="C31" s="7" t="s">
        <v>5625</v>
      </c>
      <c r="D31" s="12" t="str">
        <f>'LIBERAÇÕES'!M27</f>
        <v>CORTES</v>
      </c>
      <c r="E31" s="13" t="s">
        <v>5626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hidden="1" customHeight="1">
      <c r="A32" s="15" t="s">
        <v>5627</v>
      </c>
      <c r="B32" s="12" t="str">
        <f>'LIBERAÇÕES'!C27</f>
        <v>COFCO</v>
      </c>
      <c r="C32" s="15" t="s">
        <v>5628</v>
      </c>
      <c r="D32" s="16">
        <f>'LIBERAÇÕES'!I27</f>
        <v>0</v>
      </c>
      <c r="E32" s="17" t="str">
        <f>'LIBERAÇÕES'!N27</f>
        <v>FARDÃO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hidden="1" customHeight="1">
      <c r="A33" s="15" t="s">
        <v>5629</v>
      </c>
      <c r="B33" s="18" t="str">
        <f>'LIBERAÇÕES'!J27</f>
        <v>S07389-JAN-01</v>
      </c>
      <c r="C33" s="19" t="s">
        <v>5630</v>
      </c>
      <c r="D33" s="16">
        <f>SUM(E36:E45)</f>
        <v>0</v>
      </c>
      <c r="E33" s="13" t="s">
        <v>5631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hidden="1" customHeight="1">
      <c r="A34" s="15" t="s">
        <v>5632</v>
      </c>
      <c r="B34" s="20">
        <f>'LIBERAÇÕES'!K27</f>
        <v>46071</v>
      </c>
      <c r="C34" s="21" t="s">
        <v>5633</v>
      </c>
      <c r="D34" s="22">
        <f>D32-D33</f>
        <v>0</v>
      </c>
      <c r="E34" s="17">
        <f>'LIBERAÇÕES'!H27</f>
        <v>585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hidden="1" customHeight="1">
      <c r="A35" s="23" t="s">
        <v>1</v>
      </c>
      <c r="B35" s="23" t="s">
        <v>5634</v>
      </c>
      <c r="C35" s="23" t="s">
        <v>5635</v>
      </c>
      <c r="D35" s="23" t="s">
        <v>5636</v>
      </c>
      <c r="E35" s="24" t="s">
        <v>5637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hidden="1" customHeight="1">
      <c r="A36" s="25"/>
      <c r="B36" s="124"/>
      <c r="C36" s="25"/>
      <c r="D36" s="125"/>
      <c r="E36" s="12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hidden="1" customHeight="1">
      <c r="A37" s="25"/>
      <c r="B37" s="124"/>
      <c r="C37" s="34"/>
      <c r="D37" s="125"/>
      <c r="E37" s="12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hidden="1" customHeight="1">
      <c r="A38" s="25"/>
      <c r="B38" s="36"/>
      <c r="C38" s="34"/>
      <c r="D38" s="35"/>
      <c r="E38" s="12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hidden="1" customHeight="1">
      <c r="A39" s="25"/>
      <c r="B39" s="36"/>
      <c r="C39" s="34"/>
      <c r="D39" s="35"/>
      <c r="E39" s="12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hidden="1" customHeight="1">
      <c r="A40" s="25"/>
      <c r="B40" s="36"/>
      <c r="C40" s="34"/>
      <c r="D40" s="35"/>
      <c r="E40" s="12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hidden="1" customHeight="1">
      <c r="A41" s="25"/>
      <c r="B41" s="36"/>
      <c r="C41" s="34"/>
      <c r="D41" s="35"/>
      <c r="E41" s="12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hidden="1" customHeight="1">
      <c r="A42" s="25"/>
      <c r="B42" s="36"/>
      <c r="C42" s="34"/>
      <c r="D42" s="35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hidden="1" customHeight="1">
      <c r="A43" s="25"/>
      <c r="B43" s="36"/>
      <c r="C43" s="34"/>
      <c r="D43" s="35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hidden="1" customHeight="1">
      <c r="A44" s="25"/>
      <c r="B44" s="36"/>
      <c r="C44" s="34"/>
      <c r="D44" s="35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hidden="1" customHeight="1">
      <c r="A45" s="25"/>
      <c r="B45" s="36"/>
      <c r="C45" s="34"/>
      <c r="D45" s="35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hidden="1" customHeight="1">
      <c r="A46" s="126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8"/>
      <c r="X46" s="5"/>
      <c r="Y46" s="5"/>
      <c r="Z46" s="5"/>
    </row>
    <row r="47" ht="14.25" hidden="1" customHeight="1">
      <c r="A47" s="7" t="s">
        <v>5621</v>
      </c>
      <c r="B47" s="8" t="str">
        <f>'LIBERAÇÕES'!E28</f>
        <v>RONDONOPOLIS-MT</v>
      </c>
      <c r="C47" s="7" t="s">
        <v>5622</v>
      </c>
      <c r="D47" s="12" t="str">
        <f>'LIBERAÇÕES'!F26</f>
        <v>ALG TBM LOG</v>
      </c>
      <c r="E47" s="10">
        <f>'LIBERAÇÕES'!L28</f>
        <v>-71</v>
      </c>
      <c r="F47" s="11" t="s">
        <v>5623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hidden="1" customHeight="1">
      <c r="A48" s="7" t="s">
        <v>5624</v>
      </c>
      <c r="B48" s="8" t="str">
        <f>'LIBERAÇÕES'!G28</f>
        <v>CUBATAO-SP</v>
      </c>
      <c r="C48" s="7" t="s">
        <v>5625</v>
      </c>
      <c r="D48" s="12" t="str">
        <f>'LIBERAÇÕES'!M28</f>
        <v>ISIS</v>
      </c>
      <c r="E48" s="13" t="s">
        <v>5626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hidden="1" customHeight="1">
      <c r="A49" s="15" t="s">
        <v>5627</v>
      </c>
      <c r="B49" s="12" t="str">
        <f>'LIBERAÇÕES'!C28</f>
        <v>COFCO</v>
      </c>
      <c r="C49" s="15" t="s">
        <v>5628</v>
      </c>
      <c r="D49" s="16">
        <f>'LIBERAÇÕES'!I28</f>
        <v>2168</v>
      </c>
      <c r="E49" s="17" t="str">
        <f>'LIBERAÇÕES'!N28</f>
        <v>FARDÃO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hidden="1" customHeight="1">
      <c r="A50" s="15" t="s">
        <v>5629</v>
      </c>
      <c r="B50" s="18" t="str">
        <f>'LIBERAÇÕES'!J28</f>
        <v>S07475-MÃE-FEV-02</v>
      </c>
      <c r="C50" s="19" t="s">
        <v>5630</v>
      </c>
      <c r="D50" s="16">
        <f>SUM(E53:E72)</f>
        <v>2168</v>
      </c>
      <c r="E50" s="13" t="s">
        <v>5631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hidden="1" customHeight="1">
      <c r="A51" s="15" t="s">
        <v>5632</v>
      </c>
      <c r="B51" s="20">
        <f>'LIBERAÇÕES'!K28</f>
        <v>46071</v>
      </c>
      <c r="C51" s="21" t="s">
        <v>5633</v>
      </c>
      <c r="D51" s="22">
        <f>D49-D50</f>
        <v>0</v>
      </c>
      <c r="E51" s="17">
        <f>'LIBERAÇÕES'!H28</f>
        <v>585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hidden="1" customHeight="1">
      <c r="A52" s="23" t="s">
        <v>1</v>
      </c>
      <c r="B52" s="23" t="s">
        <v>5634</v>
      </c>
      <c r="C52" s="23" t="s">
        <v>5635</v>
      </c>
      <c r="D52" s="23" t="s">
        <v>5636</v>
      </c>
      <c r="E52" s="24" t="s">
        <v>5637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hidden="1" customHeight="1">
      <c r="A53" s="25" t="s">
        <v>37</v>
      </c>
      <c r="B53" s="124" t="s">
        <v>6056</v>
      </c>
      <c r="C53" s="25" t="s">
        <v>10</v>
      </c>
      <c r="D53" s="125" t="s">
        <v>6057</v>
      </c>
      <c r="E53" s="124">
        <v>165.0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hidden="1" customHeight="1">
      <c r="A54" s="25" t="s">
        <v>37</v>
      </c>
      <c r="B54" s="124" t="s">
        <v>6058</v>
      </c>
      <c r="C54" s="25" t="s">
        <v>26</v>
      </c>
      <c r="D54" s="125" t="s">
        <v>6057</v>
      </c>
      <c r="E54" s="124">
        <v>159.0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hidden="1" customHeight="1">
      <c r="A55" s="25" t="s">
        <v>37</v>
      </c>
      <c r="B55" s="124" t="s">
        <v>6059</v>
      </c>
      <c r="C55" s="25" t="s">
        <v>26</v>
      </c>
      <c r="D55" s="125" t="s">
        <v>6057</v>
      </c>
      <c r="E55" s="124">
        <v>170.0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hidden="1" customHeight="1">
      <c r="A56" s="25" t="s">
        <v>37</v>
      </c>
      <c r="B56" s="4" t="s">
        <v>6060</v>
      </c>
      <c r="C56" s="25" t="s">
        <v>30</v>
      </c>
      <c r="D56" s="125" t="s">
        <v>6057</v>
      </c>
      <c r="E56" s="124">
        <v>157.0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hidden="1" customHeight="1">
      <c r="A57" s="25" t="s">
        <v>41</v>
      </c>
      <c r="B57" s="124" t="s">
        <v>6061</v>
      </c>
      <c r="C57" s="25" t="s">
        <v>10</v>
      </c>
      <c r="D57" s="125" t="s">
        <v>6057</v>
      </c>
      <c r="E57" s="124">
        <v>145.0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hidden="1" customHeight="1">
      <c r="A58" s="25" t="s">
        <v>37</v>
      </c>
      <c r="B58" s="124" t="s">
        <v>6062</v>
      </c>
      <c r="C58" s="25" t="s">
        <v>10</v>
      </c>
      <c r="D58" s="125" t="s">
        <v>6057</v>
      </c>
      <c r="E58" s="124">
        <v>130.0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hidden="1" customHeight="1">
      <c r="A59" s="25" t="s">
        <v>41</v>
      </c>
      <c r="B59" s="124" t="s">
        <v>6063</v>
      </c>
      <c r="C59" s="25" t="s">
        <v>30</v>
      </c>
      <c r="D59" s="125" t="s">
        <v>6057</v>
      </c>
      <c r="E59" s="124">
        <v>156.0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hidden="1" customHeight="1">
      <c r="A60" s="25" t="s">
        <v>37</v>
      </c>
      <c r="B60" s="124" t="s">
        <v>6064</v>
      </c>
      <c r="C60" s="25" t="s">
        <v>42</v>
      </c>
      <c r="D60" s="125" t="s">
        <v>6065</v>
      </c>
      <c r="E60" s="124">
        <v>135.0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hidden="1" customHeight="1">
      <c r="A61" s="25" t="s">
        <v>41</v>
      </c>
      <c r="B61" s="124" t="s">
        <v>6066</v>
      </c>
      <c r="C61" s="25" t="s">
        <v>14</v>
      </c>
      <c r="D61" s="125" t="s">
        <v>6057</v>
      </c>
      <c r="E61" s="124">
        <v>177.0</v>
      </c>
      <c r="F61" s="1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hidden="1" customHeight="1">
      <c r="A62" s="25"/>
      <c r="B62" s="124"/>
      <c r="C62" s="25"/>
      <c r="D62" s="125"/>
      <c r="E62" s="124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4.25" hidden="1" customHeight="1">
      <c r="A63" s="25" t="s">
        <v>33</v>
      </c>
      <c r="B63" s="124" t="s">
        <v>6067</v>
      </c>
      <c r="C63" s="25" t="s">
        <v>6</v>
      </c>
      <c r="D63" s="125" t="s">
        <v>6057</v>
      </c>
      <c r="E63" s="124">
        <v>160.0</v>
      </c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4.25" hidden="1" customHeight="1">
      <c r="A64" s="25" t="s">
        <v>41</v>
      </c>
      <c r="B64" s="124" t="s">
        <v>6068</v>
      </c>
      <c r="C64" s="25" t="s">
        <v>10</v>
      </c>
      <c r="D64" s="125" t="s">
        <v>6057</v>
      </c>
      <c r="E64" s="124">
        <v>139.0</v>
      </c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4.25" hidden="1" customHeight="1">
      <c r="A65" s="25" t="s">
        <v>41</v>
      </c>
      <c r="B65" s="124" t="s">
        <v>6069</v>
      </c>
      <c r="C65" s="25" t="s">
        <v>10</v>
      </c>
      <c r="D65" s="125" t="s">
        <v>6057</v>
      </c>
      <c r="E65" s="124">
        <v>176.0</v>
      </c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4.25" hidden="1" customHeight="1">
      <c r="A66" s="25" t="s">
        <v>33</v>
      </c>
      <c r="B66" s="124" t="s">
        <v>6070</v>
      </c>
      <c r="C66" s="25" t="s">
        <v>6</v>
      </c>
      <c r="D66" s="125" t="s">
        <v>6057</v>
      </c>
      <c r="E66" s="124">
        <v>147.0</v>
      </c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4.25" hidden="1" customHeight="1">
      <c r="A67" s="25" t="s">
        <v>33</v>
      </c>
      <c r="B67" s="124" t="s">
        <v>6071</v>
      </c>
      <c r="C67" s="25" t="s">
        <v>10</v>
      </c>
      <c r="D67" s="125" t="s">
        <v>6057</v>
      </c>
      <c r="E67" s="124">
        <v>152.0</v>
      </c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4.25" hidden="1" customHeight="1">
      <c r="A68" s="25"/>
      <c r="B68" s="124"/>
      <c r="C68" s="25"/>
      <c r="D68" s="125"/>
      <c r="E68" s="124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4.25" hidden="1" customHeight="1">
      <c r="A69" s="25"/>
      <c r="B69" s="124"/>
      <c r="C69" s="25"/>
      <c r="D69" s="125"/>
      <c r="E69" s="124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4.25" hidden="1" customHeight="1">
      <c r="A70" s="25"/>
      <c r="B70" s="124"/>
      <c r="C70" s="25"/>
      <c r="D70" s="125"/>
      <c r="E70" s="124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4.25" hidden="1" customHeight="1">
      <c r="A71" s="25"/>
      <c r="B71" s="124"/>
      <c r="C71" s="25"/>
      <c r="D71" s="125"/>
      <c r="E71" s="124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4.25" hidden="1" customHeight="1">
      <c r="A72" s="25"/>
      <c r="B72" s="124"/>
      <c r="C72" s="25"/>
      <c r="D72" s="125"/>
      <c r="E72" s="124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4.25" hidden="1" customHeight="1">
      <c r="A73" s="126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8"/>
      <c r="X73" s="40"/>
      <c r="Y73" s="40"/>
      <c r="Z73" s="40"/>
    </row>
    <row r="74" ht="14.25" hidden="1" customHeight="1">
      <c r="A74" s="7" t="s">
        <v>5621</v>
      </c>
      <c r="B74" s="8" t="str">
        <f>'LIBERAÇÕES'!E33</f>
        <v>CAMPO VERDE-MT</v>
      </c>
      <c r="C74" s="7" t="s">
        <v>5622</v>
      </c>
      <c r="D74" s="12" t="str">
        <f>'LIBERAÇÕES'!F33</f>
        <v>ALG PRINCESA</v>
      </c>
      <c r="E74" s="10">
        <f>'LIBERAÇÕES'!L33</f>
        <v>-55</v>
      </c>
      <c r="F74" s="11" t="s">
        <v>5623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hidden="1" customHeight="1">
      <c r="A75" s="7" t="s">
        <v>5624</v>
      </c>
      <c r="B75" s="8" t="str">
        <f>'LIBERAÇÕES'!G33</f>
        <v>SANTOS-SP</v>
      </c>
      <c r="C75" s="7" t="s">
        <v>5625</v>
      </c>
      <c r="D75" s="12" t="str">
        <f>'LIBERAÇÕES'!M33</f>
        <v/>
      </c>
      <c r="E75" s="13" t="s">
        <v>5626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hidden="1" customHeight="1">
      <c r="A76" s="15" t="s">
        <v>5627</v>
      </c>
      <c r="B76" s="12" t="str">
        <f>'LIBERAÇÕES'!C33</f>
        <v>COFCO</v>
      </c>
      <c r="C76" s="15" t="s">
        <v>5628</v>
      </c>
      <c r="D76" s="16">
        <f>'LIBERAÇÕES'!I33</f>
        <v>126</v>
      </c>
      <c r="E76" s="17" t="str">
        <f>'LIBERAÇÕES'!N33</f>
        <v>FARDÃO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hidden="1" customHeight="1">
      <c r="A77" s="15" t="s">
        <v>5629</v>
      </c>
      <c r="B77" s="12" t="s">
        <v>6072</v>
      </c>
      <c r="C77" s="19" t="s">
        <v>5630</v>
      </c>
      <c r="D77" s="16">
        <f>SUM(E80:E88)</f>
        <v>126</v>
      </c>
      <c r="E77" s="13" t="s">
        <v>5631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hidden="1" customHeight="1">
      <c r="A78" s="15" t="s">
        <v>5632</v>
      </c>
      <c r="B78" s="20">
        <f>'LIBERAÇÕES'!K33</f>
        <v>46087</v>
      </c>
      <c r="C78" s="21" t="s">
        <v>5633</v>
      </c>
      <c r="D78" s="22">
        <f>D76-D77</f>
        <v>0</v>
      </c>
      <c r="E78" s="17">
        <f>'LIBERAÇÕES'!H33</f>
        <v>636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hidden="1" customHeight="1">
      <c r="A79" s="23" t="s">
        <v>1</v>
      </c>
      <c r="B79" s="23" t="s">
        <v>5634</v>
      </c>
      <c r="C79" s="23" t="s">
        <v>5635</v>
      </c>
      <c r="D79" s="23" t="s">
        <v>5636</v>
      </c>
      <c r="E79" s="24" t="s">
        <v>5637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hidden="1" customHeight="1">
      <c r="A80" s="25" t="s">
        <v>17</v>
      </c>
      <c r="B80" s="124" t="s">
        <v>6073</v>
      </c>
      <c r="C80" s="25" t="s">
        <v>10</v>
      </c>
      <c r="D80" s="125" t="s">
        <v>6074</v>
      </c>
      <c r="E80" s="124">
        <v>126.0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hidden="1" customHeight="1">
      <c r="A81" s="25"/>
      <c r="B81" s="124"/>
      <c r="C81" s="34"/>
      <c r="D81" s="125"/>
      <c r="E81" s="12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hidden="1" customHeight="1">
      <c r="A82" s="25"/>
      <c r="B82" s="36"/>
      <c r="C82" s="34"/>
      <c r="D82" s="35"/>
      <c r="E82" s="12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hidden="1" customHeight="1">
      <c r="A83" s="25"/>
      <c r="B83" s="36"/>
      <c r="C83" s="34"/>
      <c r="D83" s="35"/>
      <c r="E83" s="12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hidden="1" customHeight="1">
      <c r="A84" s="25"/>
      <c r="B84" s="36"/>
      <c r="C84" s="34"/>
      <c r="D84" s="35"/>
      <c r="E84" s="12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hidden="1" customHeight="1">
      <c r="A85" s="25"/>
      <c r="B85" s="36"/>
      <c r="C85" s="34"/>
      <c r="D85" s="35"/>
      <c r="E85" s="12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hidden="1" customHeight="1">
      <c r="A86" s="25"/>
      <c r="B86" s="36"/>
      <c r="C86" s="34"/>
      <c r="D86" s="35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hidden="1" customHeight="1">
      <c r="A87" s="25"/>
      <c r="B87" s="36"/>
      <c r="C87" s="34"/>
      <c r="D87" s="35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hidden="1" customHeight="1">
      <c r="A88" s="25"/>
      <c r="B88" s="36"/>
      <c r="C88" s="34"/>
      <c r="D88" s="35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hidden="1" customHeight="1">
      <c r="A89" s="126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8"/>
      <c r="X89" s="5"/>
      <c r="Y89" s="5"/>
      <c r="Z89" s="5"/>
    </row>
    <row r="90" ht="14.25" hidden="1" customHeight="1">
      <c r="A90" s="7" t="s">
        <v>5621</v>
      </c>
      <c r="B90" s="8" t="str">
        <f>'LIBERAÇÕES'!E34</f>
        <v>CAMPO VERDE-MT</v>
      </c>
      <c r="C90" s="7" t="s">
        <v>5622</v>
      </c>
      <c r="D90" s="12" t="str">
        <f>'LIBERAÇÕES'!F34</f>
        <v>ALG COOPERPLUMA UBA I</v>
      </c>
      <c r="E90" s="10">
        <f>'LIBERAÇÕES'!L34</f>
        <v>-55</v>
      </c>
      <c r="F90" s="11" t="s">
        <v>5623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hidden="1" customHeight="1">
      <c r="A91" s="7" t="s">
        <v>5624</v>
      </c>
      <c r="B91" s="8" t="str">
        <f>'LIBERAÇÕES'!G34</f>
        <v>SANTOS-SP</v>
      </c>
      <c r="C91" s="7" t="s">
        <v>5625</v>
      </c>
      <c r="D91" s="12" t="str">
        <f>'LIBERAÇÕES'!M34</f>
        <v>SIGMA</v>
      </c>
      <c r="E91" s="13" t="s">
        <v>5626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hidden="1" customHeight="1">
      <c r="A92" s="15" t="s">
        <v>5627</v>
      </c>
      <c r="B92" s="12" t="str">
        <f>'LIBERAÇÕES'!C34</f>
        <v>COFCO</v>
      </c>
      <c r="C92" s="15" t="s">
        <v>5628</v>
      </c>
      <c r="D92" s="16">
        <f>'LIBERAÇÕES'!I34</f>
        <v>175</v>
      </c>
      <c r="E92" s="17" t="str">
        <f>'LIBERAÇÕES'!N34</f>
        <v>FARDÃO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hidden="1" customHeight="1">
      <c r="A93" s="15" t="s">
        <v>5629</v>
      </c>
      <c r="B93" s="18" t="str">
        <f>'LIBERAÇÕES'!J34</f>
        <v>S07508-FEV-01 </v>
      </c>
      <c r="C93" s="19" t="s">
        <v>5630</v>
      </c>
      <c r="D93" s="16">
        <f>SUM(E96)</f>
        <v>0</v>
      </c>
      <c r="E93" s="13" t="s">
        <v>5631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hidden="1" customHeight="1">
      <c r="A94" s="15" t="s">
        <v>5632</v>
      </c>
      <c r="B94" s="20">
        <f>'LIBERAÇÕES'!K34</f>
        <v>46087</v>
      </c>
      <c r="C94" s="21" t="s">
        <v>5633</v>
      </c>
      <c r="D94" s="22">
        <f>D92-D93</f>
        <v>175</v>
      </c>
      <c r="E94" s="17">
        <f>'LIBERAÇÕES'!H34</f>
        <v>540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hidden="1" customHeight="1">
      <c r="A95" s="23" t="s">
        <v>1</v>
      </c>
      <c r="B95" s="23" t="s">
        <v>5634</v>
      </c>
      <c r="C95" s="23" t="s">
        <v>5635</v>
      </c>
      <c r="D95" s="23" t="s">
        <v>5636</v>
      </c>
      <c r="E95" s="24" t="s">
        <v>5637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hidden="1" customHeight="1">
      <c r="A96" s="25"/>
      <c r="B96" s="124"/>
      <c r="C96" s="25"/>
      <c r="D96" s="125"/>
      <c r="E96" s="12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hidden="1" customHeight="1">
      <c r="A97" s="126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8"/>
      <c r="X97" s="5"/>
      <c r="Y97" s="5"/>
      <c r="Z97" s="5"/>
    </row>
    <row r="98" ht="14.25" hidden="1" customHeight="1">
      <c r="A98" s="7" t="s">
        <v>5621</v>
      </c>
      <c r="B98" s="8" t="str">
        <f>'LIBERAÇÕES'!E36</f>
        <v>CAMPO VERDE-MT</v>
      </c>
      <c r="C98" s="7" t="s">
        <v>5622</v>
      </c>
      <c r="D98" s="12" t="str">
        <f>'LIBERAÇÕES'!F36</f>
        <v>ALG COOPERBEM</v>
      </c>
      <c r="E98" s="10">
        <f>'LIBERAÇÕES'!L36</f>
        <v>-55</v>
      </c>
      <c r="F98" s="11" t="s">
        <v>5623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hidden="1" customHeight="1">
      <c r="A99" s="7" t="s">
        <v>5624</v>
      </c>
      <c r="B99" s="8" t="str">
        <f>'LIBERAÇÕES'!G36</f>
        <v>CUBATAO-SP</v>
      </c>
      <c r="C99" s="7" t="s">
        <v>5625</v>
      </c>
      <c r="D99" s="12" t="str">
        <f>'LIBERAÇÕES'!M36</f>
        <v>ISIS</v>
      </c>
      <c r="E99" s="13" t="s">
        <v>5626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hidden="1" customHeight="1">
      <c r="A100" s="15" t="s">
        <v>5627</v>
      </c>
      <c r="B100" s="12" t="str">
        <f>'LIBERAÇÕES'!C36</f>
        <v>COFCO</v>
      </c>
      <c r="C100" s="15" t="s">
        <v>5628</v>
      </c>
      <c r="D100" s="16">
        <f>'LIBERAÇÕES'!I36</f>
        <v>1929</v>
      </c>
      <c r="E100" s="17" t="str">
        <f>'LIBERAÇÕES'!N36</f>
        <v>FARDÃO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hidden="1" customHeight="1">
      <c r="A101" s="15" t="s">
        <v>5629</v>
      </c>
      <c r="B101" s="18" t="str">
        <f>'LIBERAÇÕES'!J36</f>
        <v>S07414-C-MAR-MÃE-01 </v>
      </c>
      <c r="C101" s="19" t="s">
        <v>5630</v>
      </c>
      <c r="D101" s="16">
        <f>SUM(E104:E117)</f>
        <v>1929</v>
      </c>
      <c r="E101" s="13" t="s">
        <v>5631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hidden="1" customHeight="1">
      <c r="A102" s="15" t="s">
        <v>5632</v>
      </c>
      <c r="B102" s="20">
        <f>'LIBERAÇÕES'!K36</f>
        <v>46087</v>
      </c>
      <c r="C102" s="21" t="s">
        <v>5633</v>
      </c>
      <c r="D102" s="22">
        <f>D100-D101</f>
        <v>0</v>
      </c>
      <c r="E102" s="17">
        <f>'LIBERAÇÕES'!H36</f>
        <v>648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hidden="1" customHeight="1">
      <c r="A103" s="23" t="s">
        <v>1</v>
      </c>
      <c r="B103" s="23" t="s">
        <v>5634</v>
      </c>
      <c r="C103" s="23" t="s">
        <v>5635</v>
      </c>
      <c r="D103" s="23" t="s">
        <v>5636</v>
      </c>
      <c r="E103" s="24" t="s">
        <v>5637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hidden="1" customHeight="1">
      <c r="A104" s="25" t="s">
        <v>41</v>
      </c>
      <c r="B104" s="124" t="s">
        <v>6075</v>
      </c>
      <c r="C104" s="25" t="s">
        <v>18</v>
      </c>
      <c r="D104" s="125" t="s">
        <v>6076</v>
      </c>
      <c r="E104" s="124">
        <v>140.0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hidden="1" customHeight="1">
      <c r="A105" s="25" t="s">
        <v>41</v>
      </c>
      <c r="B105" s="124" t="s">
        <v>6077</v>
      </c>
      <c r="C105" s="25" t="s">
        <v>18</v>
      </c>
      <c r="D105" s="125" t="s">
        <v>6078</v>
      </c>
      <c r="E105" s="124">
        <v>142.0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hidden="1" customHeight="1">
      <c r="A106" s="25" t="s">
        <v>41</v>
      </c>
      <c r="B106" s="124" t="s">
        <v>6079</v>
      </c>
      <c r="C106" s="25" t="s">
        <v>10</v>
      </c>
      <c r="D106" s="125" t="s">
        <v>6076</v>
      </c>
      <c r="E106" s="124">
        <v>150.0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hidden="1" customHeight="1">
      <c r="A107" s="25" t="s">
        <v>41</v>
      </c>
      <c r="B107" s="124" t="s">
        <v>6080</v>
      </c>
      <c r="C107" s="25" t="s">
        <v>10</v>
      </c>
      <c r="D107" s="125" t="s">
        <v>6081</v>
      </c>
      <c r="E107" s="124">
        <v>131.0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hidden="1" customHeight="1">
      <c r="A108" s="25" t="s">
        <v>41</v>
      </c>
      <c r="B108" s="124" t="s">
        <v>6082</v>
      </c>
      <c r="C108" s="25" t="s">
        <v>10</v>
      </c>
      <c r="D108" s="125" t="s">
        <v>6081</v>
      </c>
      <c r="E108" s="124">
        <v>163.0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hidden="1" customHeight="1">
      <c r="A109" s="25" t="s">
        <v>41</v>
      </c>
      <c r="B109" s="124" t="s">
        <v>6083</v>
      </c>
      <c r="C109" s="25" t="s">
        <v>18</v>
      </c>
      <c r="D109" s="125" t="s">
        <v>6076</v>
      </c>
      <c r="E109" s="124">
        <v>143.0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hidden="1" customHeight="1">
      <c r="A110" s="25" t="s">
        <v>41</v>
      </c>
      <c r="B110" s="4" t="s">
        <v>6084</v>
      </c>
      <c r="C110" s="25" t="s">
        <v>10</v>
      </c>
      <c r="D110" s="125" t="s">
        <v>6076</v>
      </c>
      <c r="E110" s="124">
        <v>142.0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hidden="1" customHeight="1">
      <c r="A111" s="25" t="s">
        <v>41</v>
      </c>
      <c r="B111" s="124" t="s">
        <v>6085</v>
      </c>
      <c r="C111" s="25" t="s">
        <v>10</v>
      </c>
      <c r="D111" s="125" t="s">
        <v>6086</v>
      </c>
      <c r="E111" s="124">
        <v>140.0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hidden="1" customHeight="1">
      <c r="A112" s="25" t="s">
        <v>41</v>
      </c>
      <c r="B112" s="124" t="s">
        <v>6087</v>
      </c>
      <c r="C112" s="25" t="s">
        <v>10</v>
      </c>
      <c r="D112" s="125" t="s">
        <v>6086</v>
      </c>
      <c r="E112" s="124">
        <v>141.0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hidden="1" customHeight="1">
      <c r="A113" s="25" t="s">
        <v>33</v>
      </c>
      <c r="B113" s="124" t="s">
        <v>6088</v>
      </c>
      <c r="C113" s="25" t="s">
        <v>10</v>
      </c>
      <c r="D113" s="125" t="s">
        <v>6089</v>
      </c>
      <c r="E113" s="124">
        <v>127.0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hidden="1" customHeight="1">
      <c r="A114" s="25" t="s">
        <v>41</v>
      </c>
      <c r="B114" s="124" t="s">
        <v>6090</v>
      </c>
      <c r="C114" s="25" t="s">
        <v>10</v>
      </c>
      <c r="D114" s="125" t="s">
        <v>6076</v>
      </c>
      <c r="E114" s="124">
        <v>141.0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hidden="1" customHeight="1">
      <c r="A115" s="25" t="s">
        <v>33</v>
      </c>
      <c r="B115" s="124" t="s">
        <v>6091</v>
      </c>
      <c r="C115" s="25" t="s">
        <v>50</v>
      </c>
      <c r="D115" s="125" t="s">
        <v>6076</v>
      </c>
      <c r="E115" s="124">
        <v>83.0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hidden="1" customHeight="1">
      <c r="A116" s="25" t="s">
        <v>33</v>
      </c>
      <c r="B116" s="124" t="s">
        <v>6092</v>
      </c>
      <c r="C116" s="25" t="s">
        <v>10</v>
      </c>
      <c r="D116" s="125" t="s">
        <v>6086</v>
      </c>
      <c r="E116" s="124">
        <v>146.0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hidden="1" customHeight="1">
      <c r="A117" s="25" t="s">
        <v>41</v>
      </c>
      <c r="B117" s="124" t="s">
        <v>6093</v>
      </c>
      <c r="C117" s="25" t="s">
        <v>22</v>
      </c>
      <c r="D117" s="125" t="s">
        <v>6086</v>
      </c>
      <c r="E117" s="124">
        <v>140.0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hidden="1" customHeight="1">
      <c r="A118" s="126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8"/>
      <c r="X118" s="5"/>
      <c r="Y118" s="5"/>
      <c r="Z118" s="5"/>
    </row>
    <row r="119" ht="14.25" hidden="1" customHeight="1">
      <c r="A119" s="7" t="s">
        <v>5621</v>
      </c>
      <c r="B119" s="8" t="str">
        <f>'LIBERAÇÕES'!E37</f>
        <v>CAMPO VERDE-MT</v>
      </c>
      <c r="C119" s="7" t="s">
        <v>5622</v>
      </c>
      <c r="D119" s="12" t="str">
        <f>'LIBERAÇÕES'!F37</f>
        <v>ALG COOPERBEM</v>
      </c>
      <c r="E119" s="10">
        <f>'LIBERAÇÕES'!L37</f>
        <v>-55</v>
      </c>
      <c r="F119" s="11" t="s">
        <v>5623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hidden="1" customHeight="1">
      <c r="A120" s="7" t="s">
        <v>5624</v>
      </c>
      <c r="B120" s="8" t="str">
        <f>'LIBERAÇÕES'!G37</f>
        <v>CUBATAO-SP</v>
      </c>
      <c r="C120" s="7" t="s">
        <v>5625</v>
      </c>
      <c r="D120" s="12" t="str">
        <f>'LIBERAÇÕES'!M37</f>
        <v>CONLINE</v>
      </c>
      <c r="E120" s="13" t="s">
        <v>5626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hidden="1" customHeight="1">
      <c r="A121" s="15" t="s">
        <v>5627</v>
      </c>
      <c r="B121" s="12" t="str">
        <f>'LIBERAÇÕES'!C37</f>
        <v>COFCO</v>
      </c>
      <c r="C121" s="15" t="s">
        <v>5628</v>
      </c>
      <c r="D121" s="16">
        <f>'LIBERAÇÕES'!I37</f>
        <v>150</v>
      </c>
      <c r="E121" s="17" t="str">
        <f>'LIBERAÇÕES'!N37</f>
        <v>FARDÃO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hidden="1" customHeight="1">
      <c r="A122" s="15" t="s">
        <v>5629</v>
      </c>
      <c r="B122" s="18" t="str">
        <f>'LIBERAÇÕES'!J37</f>
        <v> WH-S07528-A-MÃE-FEV-01 </v>
      </c>
      <c r="C122" s="19" t="s">
        <v>5630</v>
      </c>
      <c r="D122" s="16">
        <f>SUM(E125:E127)</f>
        <v>150</v>
      </c>
      <c r="E122" s="13" t="s">
        <v>5631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hidden="1" customHeight="1">
      <c r="A123" s="15" t="s">
        <v>5632</v>
      </c>
      <c r="B123" s="20">
        <f>'LIBERAÇÕES'!K37</f>
        <v>46087</v>
      </c>
      <c r="C123" s="21" t="s">
        <v>5633</v>
      </c>
      <c r="D123" s="22">
        <f>D121-D122</f>
        <v>0</v>
      </c>
      <c r="E123" s="17">
        <f>'LIBERAÇÕES'!H37</f>
        <v>648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hidden="1" customHeight="1">
      <c r="A124" s="23" t="s">
        <v>1</v>
      </c>
      <c r="B124" s="23" t="s">
        <v>5634</v>
      </c>
      <c r="C124" s="23" t="s">
        <v>5635</v>
      </c>
      <c r="D124" s="23" t="s">
        <v>5636</v>
      </c>
      <c r="E124" s="24" t="s">
        <v>5637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hidden="1" customHeight="1">
      <c r="A125" s="25" t="s">
        <v>41</v>
      </c>
      <c r="B125" s="124" t="s">
        <v>6088</v>
      </c>
      <c r="C125" s="25" t="s">
        <v>18</v>
      </c>
      <c r="D125" s="125" t="s">
        <v>6076</v>
      </c>
      <c r="E125" s="124">
        <v>150.0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hidden="1" customHeight="1">
      <c r="A126" s="25"/>
      <c r="B126" s="124"/>
      <c r="C126" s="25"/>
      <c r="D126" s="125"/>
      <c r="E126" s="12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hidden="1" customHeight="1">
      <c r="A127" s="25"/>
      <c r="B127" s="124"/>
      <c r="C127" s="25"/>
      <c r="D127" s="125"/>
      <c r="E127" s="12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hidden="1" customHeight="1">
      <c r="A128" s="126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8"/>
      <c r="X128" s="5"/>
      <c r="Y128" s="5"/>
      <c r="Z128" s="5"/>
    </row>
    <row r="129" ht="14.25" hidden="1" customHeight="1">
      <c r="A129" s="7" t="s">
        <v>5621</v>
      </c>
      <c r="B129" s="8" t="str">
        <f>'LIBERAÇÕES'!E38</f>
        <v>CAMPO VERDE-MT</v>
      </c>
      <c r="C129" s="7" t="s">
        <v>5622</v>
      </c>
      <c r="D129" s="12" t="str">
        <f>'LIBERAÇÕES'!F38</f>
        <v>ALG COOPERBEM</v>
      </c>
      <c r="E129" s="10">
        <f>'LIBERAÇÕES'!L38</f>
        <v>-55</v>
      </c>
      <c r="F129" s="11" t="s">
        <v>5623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hidden="1" customHeight="1">
      <c r="A130" s="7" t="s">
        <v>5624</v>
      </c>
      <c r="B130" s="8" t="str">
        <f>'LIBERAÇÕES'!G38</f>
        <v>CUBATAO-SP</v>
      </c>
      <c r="C130" s="7" t="s">
        <v>5625</v>
      </c>
      <c r="D130" s="12" t="str">
        <f>'LIBERAÇÕES'!M38</f>
        <v>ISIS</v>
      </c>
      <c r="E130" s="13" t="s">
        <v>5626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hidden="1" customHeight="1">
      <c r="A131" s="15" t="s">
        <v>5627</v>
      </c>
      <c r="B131" s="12" t="str">
        <f>'LIBERAÇÕES'!C38</f>
        <v>COFCO</v>
      </c>
      <c r="C131" s="15" t="s">
        <v>5628</v>
      </c>
      <c r="D131" s="16">
        <f>'LIBERAÇÕES'!I38</f>
        <v>73</v>
      </c>
      <c r="E131" s="17" t="str">
        <f>'LIBERAÇÕES'!N38</f>
        <v>FARDÃO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hidden="1" customHeight="1">
      <c r="A132" s="15" t="s">
        <v>5629</v>
      </c>
      <c r="B132" s="18" t="str">
        <f>'LIBERAÇÕES'!J38</f>
        <v> S07469-MÃE-JAN-01 </v>
      </c>
      <c r="C132" s="19" t="s">
        <v>5630</v>
      </c>
      <c r="D132" s="16">
        <f>SUM(E135)</f>
        <v>73</v>
      </c>
      <c r="E132" s="13" t="s">
        <v>5631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hidden="1" customHeight="1">
      <c r="A133" s="15" t="s">
        <v>5632</v>
      </c>
      <c r="B133" s="20">
        <f>'LIBERAÇÕES'!K38</f>
        <v>46087</v>
      </c>
      <c r="C133" s="21" t="s">
        <v>5633</v>
      </c>
      <c r="D133" s="22">
        <f>D131-D132</f>
        <v>0</v>
      </c>
      <c r="E133" s="17">
        <f>'LIBERAÇÕES'!H38</f>
        <v>648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hidden="1" customHeight="1">
      <c r="A134" s="23" t="s">
        <v>1</v>
      </c>
      <c r="B134" s="23" t="s">
        <v>5634</v>
      </c>
      <c r="C134" s="23" t="s">
        <v>5635</v>
      </c>
      <c r="D134" s="23" t="s">
        <v>5636</v>
      </c>
      <c r="E134" s="24" t="s">
        <v>5637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hidden="1" customHeight="1">
      <c r="A135" s="188" t="s">
        <v>41</v>
      </c>
      <c r="B135" s="4" t="s">
        <v>6094</v>
      </c>
      <c r="C135" s="188" t="s">
        <v>50</v>
      </c>
      <c r="D135" s="189">
        <v>480.0</v>
      </c>
      <c r="E135" s="190">
        <v>73.0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hidden="1" customHeight="1">
      <c r="A136" s="126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8"/>
      <c r="X136" s="5"/>
      <c r="Y136" s="5"/>
      <c r="Z136" s="5"/>
    </row>
    <row r="137" ht="14.25" hidden="1" customHeight="1">
      <c r="A137" s="7" t="s">
        <v>5621</v>
      </c>
      <c r="B137" s="8" t="str">
        <f>'LIBERAÇÕES'!E40</f>
        <v>RONDONOPOLIS-MT</v>
      </c>
      <c r="C137" s="7" t="s">
        <v>5622</v>
      </c>
      <c r="D137" s="12" t="str">
        <f>'LIBERAÇÕES'!F40</f>
        <v>ALG TBM LOG</v>
      </c>
      <c r="E137" s="10">
        <f>'LIBERAÇÕES'!L40</f>
        <v>-52</v>
      </c>
      <c r="F137" s="11" t="s">
        <v>5623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hidden="1" customHeight="1">
      <c r="A138" s="7" t="s">
        <v>5624</v>
      </c>
      <c r="B138" s="8" t="str">
        <f>'LIBERAÇÕES'!G40</f>
        <v>SANTOS-SP</v>
      </c>
      <c r="C138" s="7" t="s">
        <v>5625</v>
      </c>
      <c r="D138" s="12" t="str">
        <f>'LIBERAÇÕES'!M40</f>
        <v>ALAMO</v>
      </c>
      <c r="E138" s="13" t="s">
        <v>5626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hidden="1" customHeight="1">
      <c r="A139" s="15" t="s">
        <v>5627</v>
      </c>
      <c r="B139" s="12" t="str">
        <f>'LIBERAÇÕES'!C40</f>
        <v>COFCO</v>
      </c>
      <c r="C139" s="15" t="s">
        <v>5628</v>
      </c>
      <c r="D139" s="16">
        <f>'LIBERAÇÕES'!I40</f>
        <v>3180</v>
      </c>
      <c r="E139" s="17" t="str">
        <f>'LIBERAÇÕES'!N40</f>
        <v>FARDÃO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hidden="1" customHeight="1">
      <c r="A140" s="15" t="s">
        <v>5629</v>
      </c>
      <c r="B140" s="18" t="str">
        <f>'LIBERAÇÕES'!J40</f>
        <v>S07466-MÃE-FEV-01 </v>
      </c>
      <c r="C140" s="19" t="s">
        <v>5630</v>
      </c>
      <c r="D140" s="16">
        <f>SUM(E143:E147)</f>
        <v>0</v>
      </c>
      <c r="E140" s="13" t="s">
        <v>5631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hidden="1" customHeight="1">
      <c r="A141" s="15" t="s">
        <v>5632</v>
      </c>
      <c r="B141" s="20">
        <f>'LIBERAÇÕES'!K40</f>
        <v>46090</v>
      </c>
      <c r="C141" s="21" t="s">
        <v>5633</v>
      </c>
      <c r="D141" s="22">
        <f>D139-D140</f>
        <v>3180</v>
      </c>
      <c r="E141" s="17">
        <f>'LIBERAÇÕES'!H40</f>
        <v>659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hidden="1" customHeight="1">
      <c r="A142" s="23" t="s">
        <v>1</v>
      </c>
      <c r="B142" s="23" t="s">
        <v>5634</v>
      </c>
      <c r="C142" s="23" t="s">
        <v>5635</v>
      </c>
      <c r="D142" s="23" t="s">
        <v>5636</v>
      </c>
      <c r="E142" s="24" t="s">
        <v>5637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hidden="1" customHeight="1">
      <c r="A143" s="25"/>
      <c r="B143" s="124"/>
      <c r="C143" s="25"/>
      <c r="D143" s="125"/>
      <c r="E143" s="12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hidden="1" customHeight="1">
      <c r="A144" s="25"/>
      <c r="B144" s="124"/>
      <c r="C144" s="25"/>
      <c r="D144" s="125"/>
      <c r="E144" s="12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hidden="1" customHeight="1">
      <c r="A145" s="25"/>
      <c r="B145" s="124"/>
      <c r="C145" s="25"/>
      <c r="D145" s="125"/>
      <c r="E145" s="12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hidden="1" customHeight="1">
      <c r="A146" s="25"/>
      <c r="B146" s="124"/>
      <c r="C146" s="25"/>
      <c r="D146" s="125"/>
      <c r="E146" s="12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hidden="1" customHeight="1">
      <c r="A147" s="25"/>
      <c r="B147" s="124"/>
      <c r="C147" s="25"/>
      <c r="D147" s="125"/>
      <c r="E147" s="12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hidden="1" customHeight="1">
      <c r="A148" s="126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8"/>
      <c r="X148" s="5"/>
      <c r="Y148" s="5"/>
      <c r="Z148" s="5"/>
    </row>
    <row r="149" ht="14.25" hidden="1" customHeight="1">
      <c r="A149" s="7" t="s">
        <v>5621</v>
      </c>
      <c r="B149" s="8" t="str">
        <f>'LIBERAÇÕES'!E41</f>
        <v>RONDONOPOLIS-MT</v>
      </c>
      <c r="C149" s="7" t="s">
        <v>5622</v>
      </c>
      <c r="D149" s="12" t="str">
        <f>'LIBERAÇÕES'!F41</f>
        <v>ALG TBM LOG</v>
      </c>
      <c r="E149" s="10">
        <f>'LIBERAÇÕES'!L41</f>
        <v>-55</v>
      </c>
      <c r="F149" s="11" t="s">
        <v>5623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hidden="1" customHeight="1">
      <c r="A150" s="7" t="s">
        <v>5624</v>
      </c>
      <c r="B150" s="8" t="str">
        <f>'LIBERAÇÕES'!G41</f>
        <v>CUBATAO-SP</v>
      </c>
      <c r="C150" s="7" t="s">
        <v>5625</v>
      </c>
      <c r="D150" s="12" t="str">
        <f>'LIBERAÇÕES'!M41</f>
        <v>CONLINE</v>
      </c>
      <c r="E150" s="13" t="s">
        <v>5626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hidden="1" customHeight="1">
      <c r="A151" s="15" t="s">
        <v>5627</v>
      </c>
      <c r="B151" s="12" t="str">
        <f>'LIBERAÇÕES'!C41</f>
        <v>COFCO</v>
      </c>
      <c r="C151" s="15" t="s">
        <v>5628</v>
      </c>
      <c r="D151" s="16">
        <f>'LIBERAÇÕES'!I41</f>
        <v>319</v>
      </c>
      <c r="E151" s="17" t="str">
        <f>'LIBERAÇÕES'!N41</f>
        <v>FARDÃO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hidden="1" customHeight="1">
      <c r="A152" s="15" t="s">
        <v>5629</v>
      </c>
      <c r="B152" s="18" t="str">
        <f>'LIBERAÇÕES'!J41</f>
        <v> WH-RD-S07414-M37-FEV-02 </v>
      </c>
      <c r="C152" s="19" t="s">
        <v>5630</v>
      </c>
      <c r="D152" s="16">
        <f>SUM(E155:E157)</f>
        <v>0</v>
      </c>
      <c r="E152" s="13" t="s">
        <v>5631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hidden="1" customHeight="1">
      <c r="A153" s="15" t="s">
        <v>5632</v>
      </c>
      <c r="B153" s="20">
        <f>'LIBERAÇÕES'!K41</f>
        <v>46087</v>
      </c>
      <c r="C153" s="21" t="s">
        <v>5633</v>
      </c>
      <c r="D153" s="22">
        <f>D151-D152</f>
        <v>319</v>
      </c>
      <c r="E153" s="17">
        <f>'LIBERAÇÕES'!H41</f>
        <v>659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hidden="1" customHeight="1">
      <c r="A154" s="23" t="s">
        <v>1</v>
      </c>
      <c r="B154" s="23" t="s">
        <v>5634</v>
      </c>
      <c r="C154" s="23" t="s">
        <v>5635</v>
      </c>
      <c r="D154" s="23" t="s">
        <v>5636</v>
      </c>
      <c r="E154" s="24" t="s">
        <v>5637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hidden="1" customHeight="1">
      <c r="A155" s="25"/>
      <c r="B155" s="124"/>
      <c r="C155" s="25"/>
      <c r="D155" s="125"/>
      <c r="E155" s="12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hidden="1" customHeight="1">
      <c r="A156" s="25"/>
      <c r="B156" s="124"/>
      <c r="C156" s="25"/>
      <c r="D156" s="125"/>
      <c r="E156" s="12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hidden="1" customHeight="1">
      <c r="A157" s="25"/>
      <c r="B157" s="124"/>
      <c r="C157" s="25"/>
      <c r="D157" s="125"/>
      <c r="E157" s="12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hidden="1" customHeight="1">
      <c r="A158" s="126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8"/>
      <c r="X158" s="5"/>
      <c r="Y158" s="5"/>
      <c r="Z158" s="5"/>
    </row>
    <row r="159" ht="14.25" hidden="1" customHeight="1">
      <c r="A159" s="7" t="s">
        <v>5621</v>
      </c>
      <c r="B159" s="8" t="str">
        <f>'LIBERAÇÕES'!E42</f>
        <v>RONDONOPOLIS-MT</v>
      </c>
      <c r="C159" s="7" t="s">
        <v>5622</v>
      </c>
      <c r="D159" s="12" t="str">
        <f>'LIBERAÇÕES'!F42</f>
        <v>ALG TBM LOG</v>
      </c>
      <c r="E159" s="10">
        <f>'LIBERAÇÕES'!L42</f>
        <v>-52</v>
      </c>
      <c r="F159" s="11" t="s">
        <v>5623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hidden="1" customHeight="1">
      <c r="A160" s="7" t="s">
        <v>5624</v>
      </c>
      <c r="B160" s="8" t="str">
        <f>'LIBERAÇÕES'!G42</f>
        <v>CUBATAO-SP</v>
      </c>
      <c r="C160" s="7" t="s">
        <v>5625</v>
      </c>
      <c r="D160" s="12" t="str">
        <f>'LIBERAÇÕES'!M42</f>
        <v>ISIS</v>
      </c>
      <c r="E160" s="13" t="s">
        <v>5626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hidden="1" customHeight="1">
      <c r="A161" s="15" t="s">
        <v>5627</v>
      </c>
      <c r="B161" s="12" t="str">
        <f>'LIBERAÇÕES'!C42</f>
        <v>COFCO</v>
      </c>
      <c r="C161" s="15" t="s">
        <v>5628</v>
      </c>
      <c r="D161" s="16">
        <f>'LIBERAÇÕES'!I42</f>
        <v>4652</v>
      </c>
      <c r="E161" s="17" t="str">
        <f>'LIBERAÇÕES'!N42</f>
        <v>FARDÃO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hidden="1" customHeight="1">
      <c r="A162" s="15" t="s">
        <v>5629</v>
      </c>
      <c r="B162" s="18" t="str">
        <f>'LIBERAÇÕES'!J42</f>
        <v> S07469-MÃE-FEV-02 </v>
      </c>
      <c r="C162" s="19" t="s">
        <v>5630</v>
      </c>
      <c r="D162" s="16">
        <f>SUM(E165:E170)</f>
        <v>0</v>
      </c>
      <c r="E162" s="13" t="s">
        <v>5631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hidden="1" customHeight="1">
      <c r="A163" s="15" t="s">
        <v>5632</v>
      </c>
      <c r="B163" s="20">
        <f>'LIBERAÇÕES'!K42</f>
        <v>46090</v>
      </c>
      <c r="C163" s="21" t="s">
        <v>5633</v>
      </c>
      <c r="D163" s="22">
        <f>D161-D162</f>
        <v>4652</v>
      </c>
      <c r="E163" s="17">
        <f>'LIBERAÇÕES'!H42</f>
        <v>659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hidden="1" customHeight="1">
      <c r="A164" s="23" t="s">
        <v>1</v>
      </c>
      <c r="B164" s="23" t="s">
        <v>5634</v>
      </c>
      <c r="C164" s="23" t="s">
        <v>5635</v>
      </c>
      <c r="D164" s="23" t="s">
        <v>5636</v>
      </c>
      <c r="E164" s="24" t="s">
        <v>5637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hidden="1" customHeight="1">
      <c r="A165" s="25"/>
      <c r="B165" s="124"/>
      <c r="C165" s="25"/>
      <c r="D165" s="125"/>
      <c r="E165" s="12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hidden="1" customHeight="1">
      <c r="A166" s="25"/>
      <c r="B166" s="124"/>
      <c r="C166" s="25"/>
      <c r="D166" s="125"/>
      <c r="E166" s="12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hidden="1" customHeight="1">
      <c r="A167" s="25"/>
      <c r="B167" s="124"/>
      <c r="C167" s="25"/>
      <c r="D167" s="125"/>
      <c r="E167" s="12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hidden="1" customHeight="1">
      <c r="A168" s="25"/>
      <c r="B168" s="124"/>
      <c r="C168" s="25"/>
      <c r="D168" s="125"/>
      <c r="E168" s="12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hidden="1" customHeight="1">
      <c r="A169" s="25"/>
      <c r="B169" s="124"/>
      <c r="C169" s="25"/>
      <c r="D169" s="125"/>
      <c r="E169" s="12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hidden="1" customHeight="1">
      <c r="A170" s="25"/>
      <c r="B170" s="124"/>
      <c r="C170" s="25"/>
      <c r="D170" s="125"/>
      <c r="E170" s="12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hidden="1" customHeight="1">
      <c r="A171" s="126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8"/>
      <c r="X171" s="5"/>
      <c r="Y171" s="5"/>
      <c r="Z171" s="5"/>
    </row>
    <row r="172" ht="14.25" hidden="1" customHeight="1">
      <c r="A172" s="7" t="s">
        <v>5621</v>
      </c>
      <c r="B172" s="8" t="str">
        <f>'LIBERAÇÕES'!E43</f>
        <v>RONDONOPOLIS-MT</v>
      </c>
      <c r="C172" s="7" t="s">
        <v>5622</v>
      </c>
      <c r="D172" s="12" t="str">
        <f>'LIBERAÇÕES'!F43</f>
        <v>ALG TBM LOG</v>
      </c>
      <c r="E172" s="10">
        <f>'LIBERAÇÕES'!L43</f>
        <v>-55</v>
      </c>
      <c r="F172" s="11" t="s">
        <v>5623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hidden="1" customHeight="1">
      <c r="A173" s="7" t="s">
        <v>5624</v>
      </c>
      <c r="B173" s="8" t="str">
        <f>'LIBERAÇÕES'!G43</f>
        <v>SANTOS-SP</v>
      </c>
      <c r="C173" s="7" t="s">
        <v>5625</v>
      </c>
      <c r="D173" s="12" t="str">
        <f>'LIBERAÇÕES'!M43</f>
        <v>MEDLOG</v>
      </c>
      <c r="E173" s="13" t="s">
        <v>5626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hidden="1" customHeight="1">
      <c r="A174" s="15" t="s">
        <v>5627</v>
      </c>
      <c r="B174" s="12" t="str">
        <f>'LIBERAÇÕES'!C43</f>
        <v>COFCO</v>
      </c>
      <c r="C174" s="15" t="s">
        <v>5628</v>
      </c>
      <c r="D174" s="16">
        <f>'LIBERAÇÕES'!I43</f>
        <v>367</v>
      </c>
      <c r="E174" s="17" t="str">
        <f>'LIBERAÇÕES'!N43</f>
        <v>FARDÃO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hidden="1" customHeight="1">
      <c r="A175" s="15" t="s">
        <v>5629</v>
      </c>
      <c r="B175" s="18" t="str">
        <f>'LIBERAÇÕES'!J43</f>
        <v> RODO-M37-FEV-04 </v>
      </c>
      <c r="C175" s="19" t="s">
        <v>5630</v>
      </c>
      <c r="D175" s="16">
        <f>SUM(E178:E183)</f>
        <v>367</v>
      </c>
      <c r="E175" s="13" t="s">
        <v>5631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hidden="1" customHeight="1">
      <c r="A176" s="15" t="s">
        <v>5632</v>
      </c>
      <c r="B176" s="20">
        <f>'LIBERAÇÕES'!K43</f>
        <v>46087</v>
      </c>
      <c r="C176" s="21" t="s">
        <v>5633</v>
      </c>
      <c r="D176" s="22">
        <f>D174-D175</f>
        <v>0</v>
      </c>
      <c r="E176" s="17">
        <f>'LIBERAÇÕES'!H43</f>
        <v>659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hidden="1" customHeight="1">
      <c r="A177" s="23" t="s">
        <v>1</v>
      </c>
      <c r="B177" s="23" t="s">
        <v>5634</v>
      </c>
      <c r="C177" s="23" t="s">
        <v>5635</v>
      </c>
      <c r="D177" s="23" t="s">
        <v>5636</v>
      </c>
      <c r="E177" s="24" t="s">
        <v>5637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hidden="1" customHeight="1">
      <c r="A178" s="25" t="s">
        <v>33</v>
      </c>
      <c r="B178" s="124" t="s">
        <v>6047</v>
      </c>
      <c r="C178" s="25" t="s">
        <v>38</v>
      </c>
      <c r="D178" s="125" t="s">
        <v>6095</v>
      </c>
      <c r="E178" s="124">
        <v>222.0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hidden="1" customHeight="1">
      <c r="A179" s="25" t="s">
        <v>33</v>
      </c>
      <c r="B179" s="124" t="s">
        <v>6096</v>
      </c>
      <c r="C179" s="25" t="s">
        <v>6</v>
      </c>
      <c r="D179" s="125" t="s">
        <v>6089</v>
      </c>
      <c r="E179" s="124">
        <v>145.0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hidden="1" customHeight="1">
      <c r="A180" s="25"/>
      <c r="B180" s="124"/>
      <c r="C180" s="25"/>
      <c r="D180" s="125"/>
      <c r="E180" s="12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hidden="1" customHeight="1">
      <c r="A181" s="25"/>
      <c r="B181" s="124"/>
      <c r="C181" s="25"/>
      <c r="D181" s="125"/>
      <c r="E181" s="12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hidden="1" customHeight="1">
      <c r="A182" s="25"/>
      <c r="B182" s="124"/>
      <c r="C182" s="25"/>
      <c r="D182" s="125"/>
      <c r="E182" s="12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hidden="1" customHeight="1">
      <c r="A183" s="25"/>
      <c r="B183" s="124"/>
      <c r="C183" s="25"/>
      <c r="D183" s="125"/>
      <c r="E183" s="12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hidden="1" customHeight="1">
      <c r="A184" s="126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8"/>
      <c r="X184" s="5"/>
      <c r="Y184" s="5"/>
      <c r="Z184" s="5"/>
    </row>
    <row r="185" ht="14.25" hidden="1" customHeight="1">
      <c r="A185" s="7" t="s">
        <v>5621</v>
      </c>
      <c r="B185" s="8" t="str">
        <f>'LIBERAÇÕES'!E44</f>
        <v>RONDONOPOLIS-MT</v>
      </c>
      <c r="C185" s="7" t="s">
        <v>5622</v>
      </c>
      <c r="D185" s="12" t="str">
        <f>'LIBERAÇÕES'!F44</f>
        <v>ALG TBM LOG</v>
      </c>
      <c r="E185" s="10">
        <f>'LIBERAÇÕES'!L44</f>
        <v>-50</v>
      </c>
      <c r="F185" s="11" t="s">
        <v>5623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hidden="1" customHeight="1">
      <c r="A186" s="7" t="s">
        <v>5624</v>
      </c>
      <c r="B186" s="8" t="str">
        <f>'LIBERAÇÕES'!G44</f>
        <v>SANTOS-SP</v>
      </c>
      <c r="C186" s="7" t="s">
        <v>5625</v>
      </c>
      <c r="D186" s="12" t="str">
        <f>'LIBERAÇÕES'!M4</f>
        <v>ALAMO</v>
      </c>
      <c r="E186" s="13" t="s">
        <v>5626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hidden="1" customHeight="1">
      <c r="A187" s="15" t="s">
        <v>5627</v>
      </c>
      <c r="B187" s="12" t="str">
        <f>'LIBERAÇÕES'!C44</f>
        <v>COFCO</v>
      </c>
      <c r="C187" s="15" t="s">
        <v>5628</v>
      </c>
      <c r="D187" s="16">
        <f>'LIBERAÇÕES'!I44</f>
        <v>500</v>
      </c>
      <c r="E187" s="17" t="str">
        <f>'LIBERAÇÕES'!N44</f>
        <v>FARDINHO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hidden="1" customHeight="1">
      <c r="A188" s="15" t="s">
        <v>5629</v>
      </c>
      <c r="B188" s="18" t="str">
        <f>'LIBERAÇÕES'!J44</f>
        <v>S07521-FEV-01 </v>
      </c>
      <c r="C188" s="19" t="s">
        <v>5630</v>
      </c>
      <c r="D188" s="16">
        <f>SUM(E191:E193)</f>
        <v>0</v>
      </c>
      <c r="E188" s="13" t="s">
        <v>5631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hidden="1" customHeight="1">
      <c r="A189" s="15" t="s">
        <v>5632</v>
      </c>
      <c r="B189" s="20">
        <f>'LIBERAÇÕES'!K44</f>
        <v>46092</v>
      </c>
      <c r="C189" s="21" t="s">
        <v>5633</v>
      </c>
      <c r="D189" s="22">
        <f>D187-D188</f>
        <v>500</v>
      </c>
      <c r="E189" s="17">
        <f>'LIBERAÇÕES'!H44</f>
        <v>659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hidden="1" customHeight="1">
      <c r="A190" s="23" t="s">
        <v>1</v>
      </c>
      <c r="B190" s="23" t="s">
        <v>5634</v>
      </c>
      <c r="C190" s="23" t="s">
        <v>5635</v>
      </c>
      <c r="D190" s="23" t="s">
        <v>5636</v>
      </c>
      <c r="E190" s="24" t="s">
        <v>5637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hidden="1" customHeight="1">
      <c r="A191" s="25"/>
      <c r="B191" s="124"/>
      <c r="C191" s="25"/>
      <c r="D191" s="125"/>
      <c r="E191" s="12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hidden="1" customHeight="1">
      <c r="A192" s="25"/>
      <c r="B192" s="124"/>
      <c r="C192" s="25"/>
      <c r="D192" s="125"/>
      <c r="E192" s="12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hidden="1" customHeight="1">
      <c r="A193" s="25"/>
      <c r="B193" s="124"/>
      <c r="C193" s="25"/>
      <c r="D193" s="125"/>
      <c r="E193" s="12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hidden="1" customHeight="1">
      <c r="A194" s="126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8"/>
      <c r="X194" s="5"/>
      <c r="Y194" s="5"/>
      <c r="Z194" s="5"/>
    </row>
    <row r="195" ht="14.25" hidden="1" customHeight="1">
      <c r="A195" s="7" t="s">
        <v>5621</v>
      </c>
      <c r="B195" s="8" t="str">
        <f>'LIBERAÇÕES'!E45</f>
        <v>RONDONOPOLIS-MT</v>
      </c>
      <c r="C195" s="7" t="s">
        <v>5622</v>
      </c>
      <c r="D195" s="12" t="str">
        <f>'LIBERAÇÕES'!F45</f>
        <v>ALG TBM LOG</v>
      </c>
      <c r="E195" s="10">
        <f>'LIBERAÇÕES'!L45</f>
        <v>-55</v>
      </c>
      <c r="F195" s="11" t="s">
        <v>5623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hidden="1" customHeight="1">
      <c r="A196" s="7" t="s">
        <v>5624</v>
      </c>
      <c r="B196" s="8" t="str">
        <f>'LIBERAÇÕES'!G45</f>
        <v>SANTOS-SP</v>
      </c>
      <c r="C196" s="7" t="s">
        <v>5625</v>
      </c>
      <c r="D196" s="12" t="str">
        <f>'LIBERAÇÕES'!M45</f>
        <v>SIGMA</v>
      </c>
      <c r="E196" s="13" t="s">
        <v>5626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hidden="1" customHeight="1">
      <c r="A197" s="15" t="s">
        <v>5627</v>
      </c>
      <c r="B197" s="12" t="str">
        <f>'LIBERAÇÕES'!C45</f>
        <v>COFCO</v>
      </c>
      <c r="C197" s="15" t="s">
        <v>5628</v>
      </c>
      <c r="D197" s="16">
        <f>'LIBERAÇÕES'!I45</f>
        <v>1366</v>
      </c>
      <c r="E197" s="17" t="str">
        <f>'LIBERAÇÕES'!N45</f>
        <v>FARDINHO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hidden="1" customHeight="1">
      <c r="A198" s="15" t="s">
        <v>5629</v>
      </c>
      <c r="B198" s="18" t="str">
        <f>'LIBERAÇÕES'!J45</f>
        <v>S07466-FEV-01 </v>
      </c>
      <c r="C198" s="19" t="s">
        <v>5630</v>
      </c>
      <c r="D198" s="16">
        <f>SUM(E201:E207)</f>
        <v>150</v>
      </c>
      <c r="E198" s="13" t="s">
        <v>5631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hidden="1" customHeight="1">
      <c r="A199" s="15" t="s">
        <v>5632</v>
      </c>
      <c r="B199" s="20">
        <f>'LIBERAÇÕES'!K45</f>
        <v>46087</v>
      </c>
      <c r="C199" s="21" t="s">
        <v>5633</v>
      </c>
      <c r="D199" s="22">
        <f>D197-D198</f>
        <v>1216</v>
      </c>
      <c r="E199" s="17">
        <f>'LIBERAÇÕES'!H45</f>
        <v>659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hidden="1" customHeight="1">
      <c r="A200" s="23" t="s">
        <v>1</v>
      </c>
      <c r="B200" s="23" t="s">
        <v>5634</v>
      </c>
      <c r="C200" s="23" t="s">
        <v>5635</v>
      </c>
      <c r="D200" s="23" t="s">
        <v>5636</v>
      </c>
      <c r="E200" s="24" t="s">
        <v>5637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hidden="1" customHeight="1">
      <c r="A201" s="25" t="s">
        <v>41</v>
      </c>
      <c r="B201" s="124" t="s">
        <v>6097</v>
      </c>
      <c r="C201" s="25" t="s">
        <v>22</v>
      </c>
      <c r="D201" s="125" t="s">
        <v>6074</v>
      </c>
      <c r="E201" s="124">
        <v>150.0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hidden="1" customHeight="1">
      <c r="A202" s="25"/>
      <c r="B202" s="124"/>
      <c r="C202" s="25"/>
      <c r="D202" s="125"/>
      <c r="E202" s="12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hidden="1" customHeight="1">
      <c r="A203" s="25"/>
      <c r="B203" s="124"/>
      <c r="C203" s="25"/>
      <c r="D203" s="125"/>
      <c r="E203" s="12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hidden="1" customHeight="1">
      <c r="A204" s="25"/>
      <c r="B204" s="124"/>
      <c r="C204" s="25"/>
      <c r="D204" s="125"/>
      <c r="E204" s="12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hidden="1" customHeight="1">
      <c r="A205" s="25"/>
      <c r="B205" s="124"/>
      <c r="C205" s="25"/>
      <c r="D205" s="125"/>
      <c r="E205" s="12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hidden="1" customHeight="1">
      <c r="A206" s="25"/>
      <c r="B206" s="124"/>
      <c r="C206" s="25"/>
      <c r="D206" s="125"/>
      <c r="E206" s="12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hidden="1" customHeight="1">
      <c r="A207" s="25"/>
      <c r="B207" s="124"/>
      <c r="C207" s="25"/>
      <c r="D207" s="125"/>
      <c r="E207" s="12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hidden="1" customHeight="1">
      <c r="A208" s="126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8"/>
      <c r="X208" s="5"/>
      <c r="Y208" s="5"/>
      <c r="Z208" s="5"/>
    </row>
    <row r="209" ht="14.25" hidden="1" customHeight="1">
      <c r="A209" s="7" t="s">
        <v>5621</v>
      </c>
      <c r="B209" s="8" t="str">
        <f>'LIBERAÇÕES'!E49</f>
        <v>CAMPO VERDE-MT</v>
      </c>
      <c r="C209" s="7" t="s">
        <v>5622</v>
      </c>
      <c r="D209" s="12" t="str">
        <f>'LIBERAÇÕES'!F49</f>
        <v>ALG COOPERBEM</v>
      </c>
      <c r="E209" s="10">
        <f>'LIBERAÇÕES'!L49</f>
        <v>-55</v>
      </c>
      <c r="F209" s="11" t="s">
        <v>5623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hidden="1" customHeight="1">
      <c r="A210" s="7" t="s">
        <v>5624</v>
      </c>
      <c r="B210" s="8" t="str">
        <f>'LIBERAÇÕES'!G49</f>
        <v>CUBATAO-SP</v>
      </c>
      <c r="C210" s="7" t="s">
        <v>5625</v>
      </c>
      <c r="D210" s="12" t="str">
        <f>'LIBERAÇÕES'!M49</f>
        <v>CONLINE</v>
      </c>
      <c r="E210" s="13" t="s">
        <v>5626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hidden="1" customHeight="1">
      <c r="A211" s="15" t="s">
        <v>5627</v>
      </c>
      <c r="B211" s="12" t="str">
        <f>'LIBERAÇÕES'!C49</f>
        <v>COFCO</v>
      </c>
      <c r="C211" s="15" t="s">
        <v>5628</v>
      </c>
      <c r="D211" s="16">
        <f>'LIBERAÇÕES'!I49</f>
        <v>164</v>
      </c>
      <c r="E211" s="17" t="str">
        <f>'LIBERAÇÕES'!N49</f>
        <v>FARDÃO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hidden="1" customHeight="1">
      <c r="A212" s="15" t="s">
        <v>5629</v>
      </c>
      <c r="B212" s="18" t="str">
        <f>'LIBERAÇÕES'!J49</f>
        <v>WH-COOPERBEM-DEC-01 </v>
      </c>
      <c r="C212" s="19" t="s">
        <v>5630</v>
      </c>
      <c r="D212" s="16">
        <f>SUM(E215:E220)</f>
        <v>164</v>
      </c>
      <c r="E212" s="13" t="s">
        <v>5631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hidden="1" customHeight="1">
      <c r="A213" s="15" t="s">
        <v>5632</v>
      </c>
      <c r="B213" s="20">
        <f>'LIBERAÇÕES'!K49</f>
        <v>46087</v>
      </c>
      <c r="C213" s="21" t="s">
        <v>5633</v>
      </c>
      <c r="D213" s="22">
        <f>D211-D212</f>
        <v>0</v>
      </c>
      <c r="E213" s="17">
        <f>'LIBERAÇÕES'!H49</f>
        <v>648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hidden="1" customHeight="1">
      <c r="A214" s="23" t="s">
        <v>1</v>
      </c>
      <c r="B214" s="23" t="s">
        <v>5634</v>
      </c>
      <c r="C214" s="23" t="s">
        <v>5635</v>
      </c>
      <c r="D214" s="23" t="s">
        <v>5636</v>
      </c>
      <c r="E214" s="24" t="s">
        <v>5637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hidden="1" customHeight="1">
      <c r="A215" s="25"/>
      <c r="B215" s="124"/>
      <c r="C215" s="25"/>
      <c r="D215" s="125"/>
      <c r="E215" s="124">
        <v>164.0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hidden="1" customHeight="1">
      <c r="A216" s="25"/>
      <c r="B216" s="124"/>
      <c r="C216" s="25"/>
      <c r="D216" s="125"/>
      <c r="E216" s="12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hidden="1" customHeight="1">
      <c r="A217" s="25"/>
      <c r="B217" s="124"/>
      <c r="C217" s="25"/>
      <c r="D217" s="125"/>
      <c r="E217" s="12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hidden="1" customHeight="1">
      <c r="A218" s="25"/>
      <c r="B218" s="124"/>
      <c r="C218" s="25"/>
      <c r="D218" s="125"/>
      <c r="E218" s="12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hidden="1" customHeight="1">
      <c r="A219" s="25"/>
      <c r="B219" s="124"/>
      <c r="C219" s="25"/>
      <c r="D219" s="125"/>
      <c r="E219" s="12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hidden="1" customHeight="1">
      <c r="A220" s="126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8"/>
      <c r="X220" s="5"/>
      <c r="Y220" s="5"/>
      <c r="Z220" s="5"/>
    </row>
    <row r="221" ht="14.25" hidden="1" customHeight="1">
      <c r="A221" s="7" t="s">
        <v>5621</v>
      </c>
      <c r="B221" s="8" t="str">
        <f>'LIBERAÇÕES'!E52</f>
        <v>CAMPO VERDE-MT</v>
      </c>
      <c r="C221" s="7" t="s">
        <v>5622</v>
      </c>
      <c r="D221" s="12" t="str">
        <f>'LIBERAÇÕES'!F52</f>
        <v>ALG UBA II</v>
      </c>
      <c r="E221" s="10">
        <f>'LIBERAÇÕES'!L52</f>
        <v>-49</v>
      </c>
      <c r="F221" s="11" t="s">
        <v>5623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hidden="1" customHeight="1">
      <c r="A222" s="7" t="s">
        <v>5624</v>
      </c>
      <c r="B222" s="8" t="str">
        <f>'LIBERAÇÕES'!G52</f>
        <v>CUBATAO-SP</v>
      </c>
      <c r="C222" s="7" t="s">
        <v>5625</v>
      </c>
      <c r="D222" s="12" t="str">
        <f>'LIBERAÇÕES'!M52</f>
        <v>ISIS</v>
      </c>
      <c r="E222" s="13" t="s">
        <v>5626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hidden="1" customHeight="1">
      <c r="A223" s="15" t="s">
        <v>5627</v>
      </c>
      <c r="B223" s="12" t="str">
        <f>'LIBERAÇÕES'!C52</f>
        <v>COFCO</v>
      </c>
      <c r="C223" s="15" t="s">
        <v>5628</v>
      </c>
      <c r="D223" s="16">
        <f>'LIBERAÇÕES'!I52</f>
        <v>119</v>
      </c>
      <c r="E223" s="17" t="str">
        <f>'LIBERAÇÕES'!N52</f>
        <v>FARDINHO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hidden="1" customHeight="1">
      <c r="A224" s="15" t="s">
        <v>5629</v>
      </c>
      <c r="B224" s="18" t="str">
        <f>'LIBERAÇÕES'!J52</f>
        <v> S07291-MÃE-JAN-01-B </v>
      </c>
      <c r="C224" s="19" t="s">
        <v>5630</v>
      </c>
      <c r="D224" s="16">
        <f>SUM(E227:E231)</f>
        <v>119</v>
      </c>
      <c r="E224" s="13" t="s">
        <v>5631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hidden="1" customHeight="1">
      <c r="A225" s="15" t="s">
        <v>5632</v>
      </c>
      <c r="B225" s="20">
        <f>'LIBERAÇÕES'!K52</f>
        <v>46093</v>
      </c>
      <c r="C225" s="21" t="s">
        <v>5633</v>
      </c>
      <c r="D225" s="22">
        <f>D223-D224</f>
        <v>0</v>
      </c>
      <c r="E225" s="17">
        <f>'LIBERAÇÕES'!H52</f>
        <v>600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hidden="1" customHeight="1">
      <c r="A226" s="23" t="s">
        <v>1</v>
      </c>
      <c r="B226" s="23" t="s">
        <v>5634</v>
      </c>
      <c r="C226" s="23" t="s">
        <v>5635</v>
      </c>
      <c r="D226" s="23" t="s">
        <v>5636</v>
      </c>
      <c r="E226" s="24" t="s">
        <v>5637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hidden="1" customHeight="1">
      <c r="A227" s="25"/>
      <c r="B227" s="124"/>
      <c r="C227" s="25"/>
      <c r="D227" s="125"/>
      <c r="E227" s="124">
        <v>119.0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hidden="1" customHeight="1">
      <c r="A228" s="25"/>
      <c r="B228" s="124"/>
      <c r="C228" s="25"/>
      <c r="D228" s="125"/>
      <c r="E228" s="12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hidden="1" customHeight="1">
      <c r="A229" s="25"/>
      <c r="B229" s="124"/>
      <c r="C229" s="25"/>
      <c r="D229" s="125"/>
      <c r="E229" s="12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hidden="1" customHeight="1">
      <c r="A230" s="25"/>
      <c r="B230" s="124"/>
      <c r="C230" s="25"/>
      <c r="D230" s="125"/>
      <c r="E230" s="12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hidden="1" customHeight="1">
      <c r="A231" s="25"/>
      <c r="B231" s="124"/>
      <c r="C231" s="25"/>
      <c r="D231" s="125"/>
      <c r="E231" s="12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hidden="1" customHeight="1">
      <c r="A232" s="126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8"/>
      <c r="X232" s="5"/>
      <c r="Y232" s="5"/>
      <c r="Z232" s="5"/>
    </row>
    <row r="233" ht="14.25" hidden="1" customHeight="1">
      <c r="A233" s="7" t="s">
        <v>5621</v>
      </c>
      <c r="B233" s="8" t="str">
        <f>'LIBERAÇÕES'!E59</f>
        <v>CAMPO VERDE-MT</v>
      </c>
      <c r="C233" s="7" t="s">
        <v>5622</v>
      </c>
      <c r="D233" s="12" t="str">
        <f>'LIBERAÇÕES'!F59</f>
        <v>ALG PRINCESA</v>
      </c>
      <c r="E233" s="10">
        <f>'LIBERAÇÕES'!L67</f>
        <v>-26</v>
      </c>
      <c r="F233" s="11" t="s">
        <v>5623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hidden="1" customHeight="1">
      <c r="A234" s="7" t="s">
        <v>5624</v>
      </c>
      <c r="B234" s="8" t="str">
        <f>'LIBERAÇÕES'!G59</f>
        <v>RONDONOPOLIS-MT</v>
      </c>
      <c r="C234" s="7" t="s">
        <v>5625</v>
      </c>
      <c r="D234" s="12" t="str">
        <f>'LIBERAÇÕES'!M59</f>
        <v>EISA</v>
      </c>
      <c r="E234" s="13" t="s">
        <v>5626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hidden="1" customHeight="1">
      <c r="A235" s="15" t="s">
        <v>5627</v>
      </c>
      <c r="B235" s="12" t="str">
        <f>'LIBERAÇÕES'!C59</f>
        <v>NUTRADE </v>
      </c>
      <c r="C235" s="15" t="s">
        <v>5628</v>
      </c>
      <c r="D235" s="16">
        <f>'LIBERAÇÕES'!I59</f>
        <v>871</v>
      </c>
      <c r="E235" s="17" t="str">
        <f>'LIBERAÇÕES'!N67</f>
        <v>FARDÃO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hidden="1" customHeight="1">
      <c r="A236" s="15" t="s">
        <v>5629</v>
      </c>
      <c r="B236" s="18" t="str">
        <f>'LIBERAÇÕES'!J59</f>
        <v>SIRON-EXP-3155257016-057-01A</v>
      </c>
      <c r="C236" s="19" t="s">
        <v>5630</v>
      </c>
      <c r="D236" s="16">
        <f>SUM(E239:E245)</f>
        <v>871</v>
      </c>
      <c r="E236" s="13" t="s">
        <v>5631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hidden="1" customHeight="1">
      <c r="A237" s="15" t="s">
        <v>5632</v>
      </c>
      <c r="B237" s="20">
        <f>'LIBERAÇÕES'!K67</f>
        <v>46116</v>
      </c>
      <c r="C237" s="21" t="s">
        <v>5633</v>
      </c>
      <c r="D237" s="22">
        <f>D235-D236</f>
        <v>0</v>
      </c>
      <c r="E237" s="134" t="s">
        <v>6098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hidden="1" customHeight="1">
      <c r="A238" s="23" t="s">
        <v>1</v>
      </c>
      <c r="B238" s="23" t="s">
        <v>5634</v>
      </c>
      <c r="C238" s="23" t="s">
        <v>5635</v>
      </c>
      <c r="D238" s="23" t="s">
        <v>5636</v>
      </c>
      <c r="E238" s="24" t="s">
        <v>5637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hidden="1" customHeight="1">
      <c r="A239" s="25" t="s">
        <v>56</v>
      </c>
      <c r="B239" s="124" t="s">
        <v>6099</v>
      </c>
      <c r="C239" s="25" t="s">
        <v>6</v>
      </c>
      <c r="D239" s="125">
        <v>125.0</v>
      </c>
      <c r="E239" s="124">
        <v>133.0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hidden="1" customHeight="1">
      <c r="A240" s="25" t="s">
        <v>56</v>
      </c>
      <c r="B240" s="124" t="s">
        <v>6100</v>
      </c>
      <c r="C240" s="25" t="s">
        <v>6</v>
      </c>
      <c r="D240" s="125">
        <v>125.0</v>
      </c>
      <c r="E240" s="124">
        <v>140.0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hidden="1" customHeight="1">
      <c r="A241" s="25" t="s">
        <v>56</v>
      </c>
      <c r="B241" s="124" t="s">
        <v>6101</v>
      </c>
      <c r="C241" s="25" t="s">
        <v>6</v>
      </c>
      <c r="D241" s="125">
        <v>125.0</v>
      </c>
      <c r="E241" s="124">
        <v>140.0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hidden="1" customHeight="1">
      <c r="A242" s="25" t="s">
        <v>56</v>
      </c>
      <c r="B242" s="124" t="s">
        <v>6102</v>
      </c>
      <c r="C242" s="25" t="s">
        <v>34</v>
      </c>
      <c r="D242" s="125">
        <v>125.0</v>
      </c>
      <c r="E242" s="124">
        <v>212.0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hidden="1" customHeight="1">
      <c r="A243" s="25" t="s">
        <v>56</v>
      </c>
      <c r="B243" s="124" t="s">
        <v>6101</v>
      </c>
      <c r="C243" s="25" t="s">
        <v>6</v>
      </c>
      <c r="D243" s="125">
        <v>125.0</v>
      </c>
      <c r="E243" s="124">
        <v>123.0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hidden="1" customHeight="1">
      <c r="A244" s="25" t="s">
        <v>56</v>
      </c>
      <c r="B244" s="124" t="s">
        <v>6101</v>
      </c>
      <c r="C244" s="25" t="s">
        <v>6</v>
      </c>
      <c r="D244" s="125" t="s">
        <v>6103</v>
      </c>
      <c r="E244" s="124">
        <v>123.0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hidden="1" customHeight="1">
      <c r="A245" s="25"/>
      <c r="B245" s="124"/>
      <c r="C245" s="25"/>
      <c r="D245" s="125"/>
      <c r="E245" s="12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hidden="1" customHeight="1">
      <c r="A246" s="126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8"/>
      <c r="X246" s="5"/>
      <c r="Y246" s="5"/>
      <c r="Z246" s="5"/>
    </row>
    <row r="247" ht="14.25" hidden="1" customHeight="1">
      <c r="A247" s="7"/>
      <c r="B247" s="8"/>
      <c r="C247" s="7"/>
      <c r="D247" s="12"/>
      <c r="E247" s="10"/>
      <c r="F247" s="11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hidden="1" customHeight="1">
      <c r="A248" s="7"/>
      <c r="B248" s="8"/>
      <c r="C248" s="7"/>
      <c r="D248" s="12"/>
      <c r="E248" s="13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hidden="1" customHeight="1">
      <c r="A249" s="15"/>
      <c r="B249" s="12"/>
      <c r="C249" s="15"/>
      <c r="D249" s="16"/>
      <c r="E249" s="1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hidden="1" customHeight="1">
      <c r="A250" s="15"/>
      <c r="B250" s="18"/>
      <c r="C250" s="19"/>
      <c r="D250" s="16"/>
      <c r="E250" s="13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hidden="1" customHeight="1">
      <c r="A251" s="15"/>
      <c r="B251" s="20"/>
      <c r="C251" s="21"/>
      <c r="D251" s="22"/>
      <c r="E251" s="13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hidden="1" customHeight="1">
      <c r="A252" s="23" t="s">
        <v>1</v>
      </c>
      <c r="B252" s="23" t="s">
        <v>5634</v>
      </c>
      <c r="C252" s="23" t="s">
        <v>5635</v>
      </c>
      <c r="D252" s="23" t="s">
        <v>5636</v>
      </c>
      <c r="E252" s="24" t="s">
        <v>5637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hidden="1" customHeight="1">
      <c r="A253" s="25"/>
      <c r="B253" s="124"/>
      <c r="C253" s="25"/>
      <c r="D253" s="125"/>
      <c r="E253" s="12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hidden="1" customHeight="1">
      <c r="A254" s="25"/>
      <c r="B254" s="124"/>
      <c r="C254" s="25"/>
      <c r="D254" s="125"/>
      <c r="E254" s="12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hidden="1" customHeight="1">
      <c r="A255" s="25"/>
      <c r="B255" s="124"/>
      <c r="C255" s="25"/>
      <c r="D255" s="125"/>
      <c r="E255" s="12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hidden="1" customHeight="1">
      <c r="A256" s="25"/>
      <c r="B256" s="124"/>
      <c r="C256" s="25"/>
      <c r="D256" s="125"/>
      <c r="E256" s="12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hidden="1" customHeight="1">
      <c r="A257" s="25"/>
      <c r="B257" s="124"/>
      <c r="C257" s="25"/>
      <c r="D257" s="125"/>
      <c r="E257" s="12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hidden="1" customHeight="1">
      <c r="A258" s="25"/>
      <c r="B258" s="124"/>
      <c r="C258" s="25"/>
      <c r="D258" s="125"/>
      <c r="E258" s="12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hidden="1" customHeight="1">
      <c r="A259" s="25"/>
      <c r="B259" s="124"/>
      <c r="C259" s="25"/>
      <c r="D259" s="125"/>
      <c r="E259" s="12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33"/>
      <c r="B262" s="133"/>
      <c r="C262" s="133"/>
      <c r="D262" s="133"/>
      <c r="E262" s="133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7" t="s">
        <v>5621</v>
      </c>
      <c r="B263" s="8" t="s">
        <v>6035</v>
      </c>
      <c r="C263" s="7" t="s">
        <v>5622</v>
      </c>
      <c r="D263" s="12" t="s">
        <v>6104</v>
      </c>
      <c r="E263" s="10" t="str">
        <f>'LIBERAÇÕES'!L271</f>
        <v/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7" t="s">
        <v>5624</v>
      </c>
      <c r="B264" s="8" t="s">
        <v>6105</v>
      </c>
      <c r="C264" s="7" t="s">
        <v>5625</v>
      </c>
      <c r="D264" s="12" t="s">
        <v>6106</v>
      </c>
      <c r="E264" s="13" t="s">
        <v>5626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5" t="s">
        <v>5627</v>
      </c>
      <c r="B265" s="12" t="s">
        <v>5982</v>
      </c>
      <c r="C265" s="15" t="s">
        <v>5628</v>
      </c>
      <c r="D265" s="123">
        <v>363.0</v>
      </c>
      <c r="E265" s="134" t="s">
        <v>5666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5" t="s">
        <v>5629</v>
      </c>
      <c r="B266" s="12" t="s">
        <v>6107</v>
      </c>
      <c r="C266" s="19" t="s">
        <v>5630</v>
      </c>
      <c r="D266" s="16">
        <f>SUM(E269:E274)</f>
        <v>300</v>
      </c>
      <c r="E266" s="13" t="s">
        <v>5631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5" t="s">
        <v>5632</v>
      </c>
      <c r="B267" s="151">
        <v>46154.0</v>
      </c>
      <c r="C267" s="21" t="s">
        <v>5633</v>
      </c>
      <c r="D267" s="22">
        <f>D265-D266</f>
        <v>63</v>
      </c>
      <c r="E267" s="134">
        <v>465.0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23" t="s">
        <v>1</v>
      </c>
      <c r="B268" s="23" t="s">
        <v>5634</v>
      </c>
      <c r="C268" s="23" t="s">
        <v>5635</v>
      </c>
      <c r="D268" s="23" t="s">
        <v>5636</v>
      </c>
      <c r="E268" s="24" t="s">
        <v>5637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25" t="s">
        <v>25</v>
      </c>
      <c r="B269" s="124"/>
      <c r="C269" s="25" t="s">
        <v>26</v>
      </c>
      <c r="D269" s="125"/>
      <c r="E269" s="136">
        <v>150.0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25" t="s">
        <v>25</v>
      </c>
      <c r="B270" s="124"/>
      <c r="C270" s="25" t="s">
        <v>38</v>
      </c>
      <c r="D270" s="125"/>
      <c r="E270" s="136">
        <v>150.0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25"/>
      <c r="B271" s="124"/>
      <c r="C271" s="25"/>
      <c r="D271" s="125"/>
      <c r="E271" s="1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25"/>
      <c r="B272" s="124"/>
      <c r="C272" s="25"/>
      <c r="D272" s="125"/>
      <c r="E272" s="1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25"/>
      <c r="B273" s="124"/>
      <c r="C273" s="25"/>
      <c r="D273" s="125"/>
      <c r="E273" s="1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25"/>
      <c r="B274" s="124"/>
      <c r="C274" s="25"/>
      <c r="D274" s="125"/>
      <c r="E274" s="12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</sheetData>
  <mergeCells count="18">
    <mergeCell ref="A12:W12"/>
    <mergeCell ref="A29:W29"/>
    <mergeCell ref="A46:W46"/>
    <mergeCell ref="A73:W73"/>
    <mergeCell ref="A89:W89"/>
    <mergeCell ref="A97:W97"/>
    <mergeCell ref="A118:W118"/>
    <mergeCell ref="A208:W208"/>
    <mergeCell ref="A220:W220"/>
    <mergeCell ref="A232:W232"/>
    <mergeCell ref="A246:W246"/>
    <mergeCell ref="A128:W128"/>
    <mergeCell ref="A136:W136"/>
    <mergeCell ref="A148:W148"/>
    <mergeCell ref="A158:W158"/>
    <mergeCell ref="A171:W171"/>
    <mergeCell ref="A184:W184"/>
    <mergeCell ref="A194:W194"/>
  </mergeCells>
  <conditionalFormatting sqref="E1 E13 E30 E47 E74 E90 E98 E119 E129 E137 E149 E159 E172 E185 E195 E209 E221 E233 E247 E263">
    <cfRule type="cellIs" dxfId="0" priority="1" operator="between">
      <formula>6</formula>
      <formula>9</formula>
    </cfRule>
  </conditionalFormatting>
  <conditionalFormatting sqref="E1 E13 E30 E47 E74 E90 E98 E119 E129 E137 E149 E159 E172 E185 E195 E209 E221 E233 E247 E263">
    <cfRule type="cellIs" dxfId="1" priority="2" operator="lessThanOrEqual">
      <formula>5</formula>
    </cfRule>
  </conditionalFormatting>
  <conditionalFormatting sqref="E1 E13 E30 E47 E74 E90 E98 E119 E129 E137 E149 E159 E172 E185 E195 E209 E221 E233 E247 E263">
    <cfRule type="cellIs" dxfId="2" priority="3" operator="greaterThanOrEqual">
      <formula>10</formula>
    </cfRule>
  </conditionalFormatting>
  <dataValidations>
    <dataValidation type="list" allowBlank="1" showErrorMessage="1" sqref="A7:A11 A19:A28 A36:A45 A53:A72 A80:A88 A96 A104:A117 A125:A127 A135 A143:A147 A155:A157 A165:A170 A178:A183 A191:A193 A201:A207 A215:A219 A227:A231 A239:A245 A253:A259 A269:A274">
      <formula1>BASE!$C$2:$C$16</formula1>
    </dataValidation>
    <dataValidation type="list" allowBlank="1" showErrorMessage="1" sqref="C7:C11 C19:C28 C36:C45 C53:C72 C80:C88 C96 C104:C117 C125:C127 C135 C143:C147 C155:C157 C165:C170 C178:C183 C191:C193 C201:C207 C215:C219 C227:C231 C239:C245 C253:C259 C269:C274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35.29"/>
    <col customWidth="1" min="2" max="2" width="19.43"/>
    <col customWidth="1" min="3" max="3" width="17.14"/>
    <col customWidth="1" min="4" max="4" width="17.43"/>
    <col customWidth="1" min="5" max="5" width="13.0"/>
  </cols>
  <sheetData>
    <row r="1">
      <c r="A1" s="133"/>
      <c r="B1" s="133"/>
      <c r="C1" s="133"/>
      <c r="D1" s="133"/>
      <c r="E1" s="133"/>
    </row>
    <row r="2">
      <c r="A2" s="7" t="s">
        <v>5621</v>
      </c>
      <c r="B2" s="8" t="s">
        <v>6032</v>
      </c>
      <c r="C2" s="7" t="s">
        <v>5622</v>
      </c>
      <c r="D2" s="12" t="s">
        <v>6033</v>
      </c>
      <c r="E2" s="10">
        <f>'LIBERAÇÕES'!L10</f>
        <v>-73</v>
      </c>
    </row>
    <row r="3">
      <c r="A3" s="7" t="s">
        <v>5624</v>
      </c>
      <c r="B3" s="8" t="s">
        <v>6035</v>
      </c>
      <c r="C3" s="7" t="s">
        <v>5625</v>
      </c>
      <c r="D3" s="12" t="s">
        <v>5672</v>
      </c>
      <c r="E3" s="13" t="s">
        <v>5626</v>
      </c>
    </row>
    <row r="4">
      <c r="A4" s="15" t="s">
        <v>5627</v>
      </c>
      <c r="B4" s="12" t="s">
        <v>3492</v>
      </c>
      <c r="C4" s="15" t="s">
        <v>5628</v>
      </c>
      <c r="D4" s="123">
        <v>202.0</v>
      </c>
      <c r="E4" s="134" t="s">
        <v>5666</v>
      </c>
    </row>
    <row r="5">
      <c r="A5" s="15" t="s">
        <v>5629</v>
      </c>
      <c r="B5" s="12" t="s">
        <v>6048</v>
      </c>
      <c r="C5" s="19" t="s">
        <v>5630</v>
      </c>
      <c r="D5" s="16">
        <f>SUM(E8:E13)</f>
        <v>202</v>
      </c>
      <c r="E5" s="13" t="s">
        <v>5631</v>
      </c>
    </row>
    <row r="6">
      <c r="A6" s="15" t="s">
        <v>5632</v>
      </c>
      <c r="B6" s="12" t="s">
        <v>6049</v>
      </c>
      <c r="C6" s="21" t="s">
        <v>5633</v>
      </c>
      <c r="D6" s="22">
        <f>D4-D5</f>
        <v>0</v>
      </c>
      <c r="E6" s="134">
        <v>230.0</v>
      </c>
    </row>
    <row r="7">
      <c r="A7" s="23" t="s">
        <v>1</v>
      </c>
      <c r="B7" s="23" t="s">
        <v>5634</v>
      </c>
      <c r="C7" s="23" t="s">
        <v>5635</v>
      </c>
      <c r="D7" s="23" t="s">
        <v>5636</v>
      </c>
      <c r="E7" s="24" t="s">
        <v>5637</v>
      </c>
    </row>
    <row r="8">
      <c r="A8" s="25" t="s">
        <v>53</v>
      </c>
      <c r="B8" s="135" t="s">
        <v>6050</v>
      </c>
      <c r="C8" s="25" t="s">
        <v>34</v>
      </c>
      <c r="D8" s="125">
        <v>200.0</v>
      </c>
      <c r="E8" s="136">
        <v>202.0</v>
      </c>
    </row>
    <row r="9">
      <c r="A9" s="25"/>
      <c r="B9" s="124"/>
      <c r="C9" s="25"/>
      <c r="D9" s="125"/>
      <c r="E9" s="136"/>
    </row>
    <row r="10">
      <c r="A10" s="25"/>
      <c r="B10" s="124"/>
      <c r="C10" s="25"/>
      <c r="D10" s="125"/>
      <c r="E10" s="136"/>
    </row>
    <row r="11">
      <c r="A11" s="25"/>
      <c r="B11" s="124"/>
      <c r="C11" s="25"/>
      <c r="D11" s="125"/>
      <c r="E11" s="136"/>
    </row>
    <row r="12">
      <c r="A12" s="25"/>
      <c r="B12" s="124"/>
      <c r="C12" s="25"/>
      <c r="D12" s="125"/>
      <c r="E12" s="136"/>
    </row>
    <row r="13">
      <c r="A13" s="25"/>
      <c r="B13" s="124"/>
      <c r="C13" s="25"/>
      <c r="D13" s="125"/>
      <c r="E13" s="124"/>
    </row>
  </sheetData>
  <conditionalFormatting sqref="E2">
    <cfRule type="cellIs" dxfId="0" priority="1" operator="between">
      <formula>6</formula>
      <formula>9</formula>
    </cfRule>
  </conditionalFormatting>
  <conditionalFormatting sqref="E2">
    <cfRule type="cellIs" dxfId="1" priority="2" operator="lessThanOrEqual">
      <formula>5</formula>
    </cfRule>
  </conditionalFormatting>
  <conditionalFormatting sqref="E2">
    <cfRule type="cellIs" dxfId="2" priority="3" operator="greaterThanOrEqual">
      <formula>10</formula>
    </cfRule>
  </conditionalFormatting>
  <dataValidations>
    <dataValidation type="list" allowBlank="1" showErrorMessage="1" sqref="A8:A13">
      <formula1>BASE!$C$2:$C$16</formula1>
    </dataValidation>
    <dataValidation type="list" allowBlank="1" showErrorMessage="1" sqref="C8:C13">
      <formula1>BASE!$E$2:$E$14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5.29"/>
    <col customWidth="1" min="2" max="2" width="29.29"/>
    <col customWidth="1" min="3" max="3" width="32.57"/>
    <col customWidth="1" min="4" max="4" width="19.29"/>
    <col customWidth="1" min="5" max="5" width="19.86"/>
    <col customWidth="1" min="6" max="6" width="42.43"/>
    <col customWidth="1" min="7" max="26" width="8.71"/>
  </cols>
  <sheetData>
    <row r="1" ht="14.25" customHeight="1">
      <c r="A1" s="7" t="s">
        <v>5621</v>
      </c>
      <c r="B1" s="8" t="str">
        <f>'LIBERAÇÕES'!E3</f>
        <v>NOVO SAO JOAQUIM-MT</v>
      </c>
      <c r="C1" s="7" t="s">
        <v>5622</v>
      </c>
      <c r="D1" s="12" t="str">
        <f>'LIBERAÇÕES'!F3</f>
        <v>ALG ITAQUERE</v>
      </c>
      <c r="E1" s="10">
        <f>'LIBERAÇÕES'!L3</f>
        <v>-80</v>
      </c>
      <c r="F1" s="11" t="s">
        <v>5623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 t="s">
        <v>5624</v>
      </c>
      <c r="B2" s="8" t="str">
        <f>'LIBERAÇÕES'!G3</f>
        <v>SANTOS-SP</v>
      </c>
      <c r="C2" s="7" t="s">
        <v>5625</v>
      </c>
      <c r="D2" s="12" t="str">
        <f>'LIBERAÇÕES'!M3</f>
        <v>DALASTRA</v>
      </c>
      <c r="E2" s="13" t="s">
        <v>5626</v>
      </c>
      <c r="F2" s="1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5" t="s">
        <v>5627</v>
      </c>
      <c r="B3" s="12" t="str">
        <f>'LIBERAÇÕES'!C3</f>
        <v>BRASIL AGRO</v>
      </c>
      <c r="C3" s="15" t="s">
        <v>5628</v>
      </c>
      <c r="D3" s="16">
        <f>'LIBERAÇÕES'!I3</f>
        <v>1512</v>
      </c>
      <c r="E3" s="17" t="str">
        <f>'LIBERAÇÕES'!N3</f>
        <v>FARDINHO</v>
      </c>
      <c r="F3" s="1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5" t="s">
        <v>5629</v>
      </c>
      <c r="B4" s="18" t="str">
        <f>'LIBERAÇÕES'!J3</f>
        <v/>
      </c>
      <c r="C4" s="19" t="s">
        <v>5630</v>
      </c>
      <c r="D4" s="16">
        <f>SUM(E7:E15)</f>
        <v>1512</v>
      </c>
      <c r="E4" s="13" t="s">
        <v>5631</v>
      </c>
      <c r="F4" s="1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5" t="s">
        <v>5632</v>
      </c>
      <c r="B5" s="20">
        <f>'LIBERAÇÕES'!K3</f>
        <v>46062</v>
      </c>
      <c r="C5" s="21" t="s">
        <v>5633</v>
      </c>
      <c r="D5" s="22">
        <f>D3-D4</f>
        <v>0</v>
      </c>
      <c r="E5" s="17">
        <f>'LIBERAÇÕES'!H3</f>
        <v>492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3" t="s">
        <v>1</v>
      </c>
      <c r="B6" s="23" t="s">
        <v>5634</v>
      </c>
      <c r="C6" s="23" t="s">
        <v>5635</v>
      </c>
      <c r="D6" s="23" t="s">
        <v>5636</v>
      </c>
      <c r="E6" s="24" t="s">
        <v>5637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5" t="s">
        <v>37</v>
      </c>
      <c r="B7" s="26" t="s">
        <v>6108</v>
      </c>
      <c r="C7" s="25" t="s">
        <v>22</v>
      </c>
      <c r="D7" s="191">
        <v>470.0</v>
      </c>
      <c r="E7" s="192">
        <v>168.0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5" t="s">
        <v>37</v>
      </c>
      <c r="B8" s="29" t="s">
        <v>6109</v>
      </c>
      <c r="C8" s="25" t="s">
        <v>34</v>
      </c>
      <c r="D8" s="191">
        <v>470.0</v>
      </c>
      <c r="E8" s="192">
        <v>240.0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5" t="s">
        <v>37</v>
      </c>
      <c r="B9" s="30" t="s">
        <v>6110</v>
      </c>
      <c r="C9" s="25" t="s">
        <v>22</v>
      </c>
      <c r="D9" s="191">
        <v>470.0</v>
      </c>
      <c r="E9" s="192">
        <v>163.0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25" t="s">
        <v>37</v>
      </c>
      <c r="B10" s="31" t="s">
        <v>6111</v>
      </c>
      <c r="C10" s="25" t="s">
        <v>22</v>
      </c>
      <c r="D10" s="191">
        <v>470.0</v>
      </c>
      <c r="E10" s="192">
        <v>160.0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5" t="s">
        <v>37</v>
      </c>
      <c r="B11" s="29" t="s">
        <v>6112</v>
      </c>
      <c r="C11" s="25" t="s">
        <v>26</v>
      </c>
      <c r="D11" s="191">
        <v>470.0</v>
      </c>
      <c r="E11" s="192">
        <v>156.0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5" t="s">
        <v>37</v>
      </c>
      <c r="B12" s="29" t="s">
        <v>6113</v>
      </c>
      <c r="C12" s="25" t="s">
        <v>6</v>
      </c>
      <c r="D12" s="191">
        <v>470.0</v>
      </c>
      <c r="E12" s="192">
        <v>144.0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25" t="s">
        <v>37</v>
      </c>
      <c r="B13" s="32" t="s">
        <v>6114</v>
      </c>
      <c r="C13" s="25" t="s">
        <v>38</v>
      </c>
      <c r="D13" s="191">
        <v>490.0</v>
      </c>
      <c r="E13" s="193">
        <v>215.0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25" t="s">
        <v>37</v>
      </c>
      <c r="B14" s="194" t="s">
        <v>6115</v>
      </c>
      <c r="C14" s="25" t="s">
        <v>10</v>
      </c>
      <c r="D14" s="125">
        <v>500.0</v>
      </c>
      <c r="E14" s="124">
        <v>133.0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5" t="s">
        <v>37</v>
      </c>
      <c r="B15" s="194" t="s">
        <v>6116</v>
      </c>
      <c r="C15" s="25" t="s">
        <v>10</v>
      </c>
      <c r="D15" s="125">
        <v>500.0</v>
      </c>
      <c r="E15" s="124">
        <v>133.0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4"/>
      <c r="X16" s="5"/>
      <c r="Y16" s="5"/>
      <c r="Z16" s="5"/>
    </row>
    <row r="17" ht="14.25" customHeight="1">
      <c r="A17" s="7" t="s">
        <v>5621</v>
      </c>
      <c r="B17" s="8" t="str">
        <f>'LIBERAÇÕES'!E24</f>
        <v>PRIMAVERA DO LESTE-MT</v>
      </c>
      <c r="C17" s="7" t="s">
        <v>5622</v>
      </c>
      <c r="D17" s="12" t="str">
        <f>'LIBERAÇÕES'!F24</f>
        <v>ALG NOVA GERAÇÃO</v>
      </c>
      <c r="E17" s="10">
        <f>'LIBERAÇÕES'!L24</f>
        <v>-69</v>
      </c>
      <c r="F17" s="11" t="s">
        <v>5623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" t="s">
        <v>5624</v>
      </c>
      <c r="B18" s="8" t="str">
        <f>'LIBERAÇÕES'!G24</f>
        <v>CUBATAO-SP</v>
      </c>
      <c r="C18" s="7" t="s">
        <v>5625</v>
      </c>
      <c r="D18" s="12" t="str">
        <f>'LIBERAÇÕES'!M24</f>
        <v>ISIS</v>
      </c>
      <c r="E18" s="13" t="s">
        <v>5626</v>
      </c>
      <c r="F18" s="1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5" t="s">
        <v>5627</v>
      </c>
      <c r="B19" s="12" t="str">
        <f>'LIBERAÇÕES'!C24</f>
        <v>COFCO</v>
      </c>
      <c r="C19" s="15" t="s">
        <v>5628</v>
      </c>
      <c r="D19" s="16">
        <f>'LIBERAÇÕES'!I24</f>
        <v>1865</v>
      </c>
      <c r="E19" s="17" t="str">
        <f>'LIBERAÇÕES'!N24</f>
        <v>FARDINHO</v>
      </c>
      <c r="F19" s="1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15" t="s">
        <v>5629</v>
      </c>
      <c r="B20" s="18" t="str">
        <f>'LIBERAÇÕES'!J24</f>
        <v>RODO-M37-JAN26-11</v>
      </c>
      <c r="C20" s="19" t="s">
        <v>5630</v>
      </c>
      <c r="D20" s="16">
        <f>SUM(E23:E34)</f>
        <v>1865</v>
      </c>
      <c r="E20" s="13" t="s">
        <v>5631</v>
      </c>
      <c r="F20" s="1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5" t="s">
        <v>5632</v>
      </c>
      <c r="B21" s="20">
        <f>'LIBERAÇÕES'!K24</f>
        <v>46073</v>
      </c>
      <c r="C21" s="21" t="s">
        <v>5633</v>
      </c>
      <c r="D21" s="22">
        <f>D19-D20</f>
        <v>0</v>
      </c>
      <c r="E21" s="17">
        <f>'LIBERAÇÕES'!H24</f>
        <v>530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3" t="s">
        <v>1</v>
      </c>
      <c r="B22" s="23" t="s">
        <v>5634</v>
      </c>
      <c r="C22" s="23" t="s">
        <v>5635</v>
      </c>
      <c r="D22" s="23" t="s">
        <v>5636</v>
      </c>
      <c r="E22" s="24" t="s">
        <v>5637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25" t="s">
        <v>37</v>
      </c>
      <c r="B23" s="195" t="s">
        <v>6117</v>
      </c>
      <c r="C23" s="25" t="s">
        <v>10</v>
      </c>
      <c r="D23" s="191">
        <v>480.0</v>
      </c>
      <c r="E23" s="124">
        <v>176.0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25" t="s">
        <v>37</v>
      </c>
      <c r="B24" s="195" t="s">
        <v>6118</v>
      </c>
      <c r="C24" s="25" t="s">
        <v>10</v>
      </c>
      <c r="D24" s="191">
        <v>480.0</v>
      </c>
      <c r="E24" s="124">
        <v>158.0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5" t="s">
        <v>37</v>
      </c>
      <c r="B25" s="196" t="s">
        <v>6119</v>
      </c>
      <c r="C25" s="25" t="s">
        <v>6</v>
      </c>
      <c r="D25" s="191">
        <v>480.0</v>
      </c>
      <c r="E25" s="124">
        <v>139.0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5" t="s">
        <v>37</v>
      </c>
      <c r="B26" s="196" t="s">
        <v>6120</v>
      </c>
      <c r="C26" s="25" t="s">
        <v>10</v>
      </c>
      <c r="D26" s="191">
        <v>480.0</v>
      </c>
      <c r="E26" s="124">
        <v>152.0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25" t="s">
        <v>37</v>
      </c>
      <c r="B27" s="195" t="s">
        <v>6121</v>
      </c>
      <c r="C27" s="25" t="s">
        <v>26</v>
      </c>
      <c r="D27" s="191">
        <v>480.0</v>
      </c>
      <c r="E27" s="124">
        <v>163.0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5" t="s">
        <v>37</v>
      </c>
      <c r="B28" s="196" t="s">
        <v>6122</v>
      </c>
      <c r="C28" s="25" t="s">
        <v>6</v>
      </c>
      <c r="D28" s="191">
        <v>480.0</v>
      </c>
      <c r="E28" s="124">
        <v>160.0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25" t="s">
        <v>37</v>
      </c>
      <c r="B29" s="124" t="s">
        <v>6050</v>
      </c>
      <c r="C29" s="25" t="s">
        <v>34</v>
      </c>
      <c r="D29" s="191" t="s">
        <v>6123</v>
      </c>
      <c r="E29" s="124">
        <v>240.0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5" t="s">
        <v>37</v>
      </c>
      <c r="B30" s="124" t="s">
        <v>6124</v>
      </c>
      <c r="C30" s="25" t="s">
        <v>30</v>
      </c>
      <c r="D30" s="191">
        <v>480.0</v>
      </c>
      <c r="E30" s="124">
        <v>156.0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25" t="s">
        <v>37</v>
      </c>
      <c r="B31" s="197" t="s">
        <v>5858</v>
      </c>
      <c r="C31" s="25" t="s">
        <v>34</v>
      </c>
      <c r="D31" s="191" t="s">
        <v>6123</v>
      </c>
      <c r="E31" s="124">
        <v>214.0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5" t="s">
        <v>37</v>
      </c>
      <c r="B32" s="124" t="s">
        <v>6125</v>
      </c>
      <c r="C32" s="25" t="s">
        <v>18</v>
      </c>
      <c r="D32" s="191">
        <v>480.0</v>
      </c>
      <c r="E32" s="124">
        <v>166.0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25" t="s">
        <v>37</v>
      </c>
      <c r="B33" s="124" t="s">
        <v>6126</v>
      </c>
      <c r="C33" s="25" t="s">
        <v>10</v>
      </c>
      <c r="D33" s="191">
        <v>480.0</v>
      </c>
      <c r="E33" s="124">
        <v>141.0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25"/>
      <c r="B34" s="198" t="s">
        <v>6127</v>
      </c>
      <c r="C34" s="25"/>
      <c r="D34" s="191"/>
      <c r="E34" s="12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8"/>
      <c r="X35" s="5"/>
      <c r="Y35" s="5"/>
      <c r="Z35" s="5"/>
    </row>
    <row r="36" ht="14.25" customHeight="1">
      <c r="A36" s="7" t="s">
        <v>5621</v>
      </c>
      <c r="B36" s="8" t="str">
        <f>'LIBERAÇÕES'!E29</f>
        <v>NOVO SAO JOAQUIM-MT</v>
      </c>
      <c r="C36" s="7" t="s">
        <v>5622</v>
      </c>
      <c r="D36" s="12" t="str">
        <f>'LIBERAÇÕES'!F29</f>
        <v>ALG ITAQUERE</v>
      </c>
      <c r="E36" s="10">
        <f>'LIBERAÇÕES'!L29</f>
        <v>-65</v>
      </c>
      <c r="F36" s="11" t="s">
        <v>5623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7" t="s">
        <v>5624</v>
      </c>
      <c r="B37" s="8" t="str">
        <f>'LIBERAÇÕES'!G29</f>
        <v>GUARUJA-SP</v>
      </c>
      <c r="C37" s="7" t="s">
        <v>5625</v>
      </c>
      <c r="D37" s="12" t="str">
        <f>'LIBERAÇÕES'!M29</f>
        <v>CORTES</v>
      </c>
      <c r="E37" s="13" t="s">
        <v>5626</v>
      </c>
      <c r="F37" s="199" t="s">
        <v>6128</v>
      </c>
      <c r="G37" s="1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5" t="s">
        <v>5627</v>
      </c>
      <c r="B38" s="12" t="str">
        <f>'LIBERAÇÕES'!C29</f>
        <v>BRASIL AGRO</v>
      </c>
      <c r="C38" s="15" t="s">
        <v>5628</v>
      </c>
      <c r="D38" s="16">
        <f>'LIBERAÇÕES'!I29</f>
        <v>718</v>
      </c>
      <c r="E38" s="17" t="str">
        <f>'LIBERAÇÕES'!N29</f>
        <v>FARDINHO</v>
      </c>
      <c r="F38" s="3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5" t="s">
        <v>5629</v>
      </c>
      <c r="B39" s="18" t="str">
        <f>'LIBERAÇÕES'!J29</f>
        <v>AF237/2025</v>
      </c>
      <c r="C39" s="19" t="s">
        <v>5630</v>
      </c>
      <c r="D39" s="16">
        <f>SUM(E42:E46)</f>
        <v>718</v>
      </c>
      <c r="E39" s="13" t="s">
        <v>5631</v>
      </c>
      <c r="F39" s="1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5" t="s">
        <v>5632</v>
      </c>
      <c r="B40" s="20">
        <f>'LIBERAÇÕES'!K29</f>
        <v>46077</v>
      </c>
      <c r="C40" s="21" t="s">
        <v>5633</v>
      </c>
      <c r="D40" s="22">
        <f>D38-D39</f>
        <v>0</v>
      </c>
      <c r="E40" s="17">
        <f>'LIBERAÇÕES'!H29</f>
        <v>570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23" t="s">
        <v>1</v>
      </c>
      <c r="B41" s="23" t="s">
        <v>5634</v>
      </c>
      <c r="C41" s="23" t="s">
        <v>5635</v>
      </c>
      <c r="D41" s="23" t="s">
        <v>5636</v>
      </c>
      <c r="E41" s="24" t="s">
        <v>5637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25" t="s">
        <v>37</v>
      </c>
      <c r="B42" s="195" t="s">
        <v>6129</v>
      </c>
      <c r="C42" s="25" t="s">
        <v>10</v>
      </c>
      <c r="D42" s="191">
        <v>530.0</v>
      </c>
      <c r="E42" s="124">
        <v>144.0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25" t="s">
        <v>37</v>
      </c>
      <c r="B43" s="195" t="s">
        <v>6130</v>
      </c>
      <c r="C43" s="25" t="s">
        <v>10</v>
      </c>
      <c r="D43" s="191">
        <v>530.0</v>
      </c>
      <c r="E43" s="124">
        <v>144.0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25" t="s">
        <v>37</v>
      </c>
      <c r="B44" s="200" t="s">
        <v>6131</v>
      </c>
      <c r="C44" s="25" t="s">
        <v>10</v>
      </c>
      <c r="D44" s="191">
        <v>530.0</v>
      </c>
      <c r="E44" s="124">
        <v>144.0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25" t="s">
        <v>37</v>
      </c>
      <c r="B45" s="195" t="s">
        <v>6132</v>
      </c>
      <c r="C45" s="25" t="s">
        <v>10</v>
      </c>
      <c r="D45" s="191">
        <v>530.0</v>
      </c>
      <c r="E45" s="124">
        <v>143.0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25" t="s">
        <v>37</v>
      </c>
      <c r="B46" s="195" t="s">
        <v>6088</v>
      </c>
      <c r="C46" s="25" t="s">
        <v>10</v>
      </c>
      <c r="D46" s="191">
        <v>530.0</v>
      </c>
      <c r="E46" s="124">
        <v>143.0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8"/>
      <c r="X47" s="5"/>
      <c r="Y47" s="5"/>
      <c r="Z47" s="5"/>
    </row>
    <row r="48" ht="14.25" customHeight="1">
      <c r="A48" s="7" t="s">
        <v>5621</v>
      </c>
      <c r="B48" s="8" t="str">
        <f>'LIBERAÇÕES'!E35</f>
        <v>NOVO SAO JOAQUIM-MT</v>
      </c>
      <c r="C48" s="7" t="s">
        <v>5622</v>
      </c>
      <c r="D48" s="12" t="str">
        <f>'LIBERAÇÕES'!F35</f>
        <v>ALG ITAQUERE</v>
      </c>
      <c r="E48" s="10">
        <f>'LIBERAÇÕES'!L35</f>
        <v>-57</v>
      </c>
      <c r="F48" s="11" t="s">
        <v>5623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7" t="s">
        <v>5624</v>
      </c>
      <c r="B49" s="8" t="str">
        <f>'LIBERAÇÕES'!G35</f>
        <v>SANTOS-SP</v>
      </c>
      <c r="C49" s="7" t="s">
        <v>5625</v>
      </c>
      <c r="D49" s="12" t="str">
        <f>'LIBERAÇÕES'!M35</f>
        <v>DALASTRA</v>
      </c>
      <c r="E49" s="13" t="s">
        <v>5626</v>
      </c>
      <c r="F49" s="5"/>
      <c r="G49" s="1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5" t="s">
        <v>5627</v>
      </c>
      <c r="B50" s="12" t="str">
        <f>'LIBERAÇÕES'!C35</f>
        <v>BRASIL AGRO</v>
      </c>
      <c r="C50" s="15" t="s">
        <v>5628</v>
      </c>
      <c r="D50" s="16">
        <f>'LIBERAÇÕES'!I35</f>
        <v>481</v>
      </c>
      <c r="E50" s="17" t="str">
        <f>'LIBERAÇÕES'!N35</f>
        <v>FARDINHO</v>
      </c>
      <c r="F50" s="3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5" t="s">
        <v>5629</v>
      </c>
      <c r="B51" s="18" t="str">
        <f>'LIBERAÇÕES'!J35</f>
        <v/>
      </c>
      <c r="C51" s="19" t="s">
        <v>5630</v>
      </c>
      <c r="D51" s="16">
        <f>SUM(E54:E56)</f>
        <v>481</v>
      </c>
      <c r="E51" s="13" t="s">
        <v>5631</v>
      </c>
      <c r="F51" s="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5" t="s">
        <v>5632</v>
      </c>
      <c r="B52" s="20">
        <f>'LIBERAÇÕES'!K35</f>
        <v>46085</v>
      </c>
      <c r="C52" s="21" t="s">
        <v>5633</v>
      </c>
      <c r="D52" s="22">
        <f>D50-D51</f>
        <v>0</v>
      </c>
      <c r="E52" s="17">
        <f>'LIBERAÇÕES'!H35</f>
        <v>600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23" t="s">
        <v>1</v>
      </c>
      <c r="B53" s="23" t="s">
        <v>5634</v>
      </c>
      <c r="C53" s="23" t="s">
        <v>5635</v>
      </c>
      <c r="D53" s="23" t="s">
        <v>5636</v>
      </c>
      <c r="E53" s="24" t="s">
        <v>5637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25" t="s">
        <v>37</v>
      </c>
      <c r="B54" s="201" t="s">
        <v>6133</v>
      </c>
      <c r="C54" s="25" t="s">
        <v>30</v>
      </c>
      <c r="D54" s="191"/>
      <c r="E54" s="124">
        <v>170.0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25" t="s">
        <v>37</v>
      </c>
      <c r="B55" s="201" t="s">
        <v>6134</v>
      </c>
      <c r="C55" s="25" t="s">
        <v>26</v>
      </c>
      <c r="D55" s="191"/>
      <c r="E55" s="124">
        <v>168.0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25" t="s">
        <v>37</v>
      </c>
      <c r="B56" s="202" t="s">
        <v>6135</v>
      </c>
      <c r="C56" s="25" t="s">
        <v>6</v>
      </c>
      <c r="D56" s="191"/>
      <c r="E56" s="124">
        <v>143.0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26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8"/>
      <c r="X57" s="5"/>
      <c r="Y57" s="5"/>
      <c r="Z57" s="5"/>
    </row>
    <row r="58" ht="14.25" customHeight="1">
      <c r="A58" s="7" t="s">
        <v>5621</v>
      </c>
      <c r="B58" s="8" t="str">
        <f>'LIBERAÇÕES'!E39</f>
        <v>PRIMAVERA DO LESTE-MT</v>
      </c>
      <c r="C58" s="7" t="s">
        <v>5622</v>
      </c>
      <c r="D58" s="12" t="str">
        <f>'LIBERAÇÕES'!F39</f>
        <v>ALG NOVA GERAÇÃO</v>
      </c>
      <c r="E58" s="10">
        <f>'LIBERAÇÕES'!L39</f>
        <v>-55</v>
      </c>
      <c r="F58" s="11" t="s">
        <v>5623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7" t="s">
        <v>5624</v>
      </c>
      <c r="B59" s="8" t="str">
        <f>'LIBERAÇÕES'!G39</f>
        <v>CUBATAO-SP</v>
      </c>
      <c r="C59" s="7" t="s">
        <v>5625</v>
      </c>
      <c r="D59" s="12" t="str">
        <f>'LIBERAÇÕES'!M39</f>
        <v>ISIS</v>
      </c>
      <c r="E59" s="13" t="s">
        <v>5626</v>
      </c>
      <c r="F59" s="5"/>
      <c r="G59" s="1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5" t="s">
        <v>5627</v>
      </c>
      <c r="B60" s="12" t="str">
        <f>'LIBERAÇÕES'!C39</f>
        <v>COFCO</v>
      </c>
      <c r="C60" s="15" t="s">
        <v>5628</v>
      </c>
      <c r="D60" s="16">
        <f>'LIBERAÇÕES'!I39</f>
        <v>4557</v>
      </c>
      <c r="E60" s="17" t="str">
        <f>'LIBERAÇÕES'!N39</f>
        <v>FARDINHO</v>
      </c>
      <c r="F60" s="3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5" t="s">
        <v>5629</v>
      </c>
      <c r="B61" s="18" t="str">
        <f>'LIBERAÇÕES'!J39</f>
        <v> S07499-MÃE-JAN-01 </v>
      </c>
      <c r="C61" s="19" t="s">
        <v>5630</v>
      </c>
      <c r="D61" s="16">
        <f>SUM(E64:E101)</f>
        <v>4557</v>
      </c>
      <c r="E61" s="203" t="s">
        <v>5631</v>
      </c>
      <c r="F61" s="1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5" t="s">
        <v>5632</v>
      </c>
      <c r="B62" s="20">
        <f>'LIBERAÇÕES'!K39</f>
        <v>46087</v>
      </c>
      <c r="C62" s="21" t="s">
        <v>5633</v>
      </c>
      <c r="D62" s="204">
        <f>D60-D61</f>
        <v>0</v>
      </c>
      <c r="E62" s="205">
        <f>'LIBERAÇÕES'!H39</f>
        <v>682</v>
      </c>
      <c r="F62" s="20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23" t="s">
        <v>1</v>
      </c>
      <c r="B63" s="23" t="s">
        <v>5634</v>
      </c>
      <c r="C63" s="23" t="s">
        <v>5635</v>
      </c>
      <c r="D63" s="23" t="s">
        <v>5636</v>
      </c>
      <c r="E63" s="23" t="s">
        <v>5637</v>
      </c>
      <c r="F63" s="1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25" t="s">
        <v>37</v>
      </c>
      <c r="B64" s="207" t="s">
        <v>6136</v>
      </c>
      <c r="C64" s="25" t="s">
        <v>6</v>
      </c>
      <c r="D64" s="191">
        <v>530.0</v>
      </c>
      <c r="E64" s="124">
        <v>139.0</v>
      </c>
      <c r="F64" s="1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25" t="s">
        <v>37</v>
      </c>
      <c r="B65" s="207" t="s">
        <v>6137</v>
      </c>
      <c r="C65" s="25" t="s">
        <v>34</v>
      </c>
      <c r="D65" s="191">
        <v>530.0</v>
      </c>
      <c r="E65" s="124">
        <v>216.0</v>
      </c>
      <c r="F65" s="1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25" t="s">
        <v>37</v>
      </c>
      <c r="B66" s="208" t="s">
        <v>6138</v>
      </c>
      <c r="C66" s="25" t="s">
        <v>6</v>
      </c>
      <c r="D66" s="191">
        <v>530.0</v>
      </c>
      <c r="E66" s="124">
        <v>144.0</v>
      </c>
      <c r="F66" s="1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25" t="s">
        <v>37</v>
      </c>
      <c r="B67" s="209" t="s">
        <v>6139</v>
      </c>
      <c r="C67" s="25" t="s">
        <v>10</v>
      </c>
      <c r="D67" s="191">
        <v>530.0</v>
      </c>
      <c r="E67" s="124">
        <v>153.0</v>
      </c>
      <c r="F67" s="1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25" t="s">
        <v>37</v>
      </c>
      <c r="B68" s="210" t="s">
        <v>6140</v>
      </c>
      <c r="C68" s="25" t="s">
        <v>26</v>
      </c>
      <c r="D68" s="191">
        <v>520.0</v>
      </c>
      <c r="E68" s="124">
        <v>164.0</v>
      </c>
      <c r="F68" s="1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25" t="s">
        <v>37</v>
      </c>
      <c r="B69" s="211" t="s">
        <v>6122</v>
      </c>
      <c r="C69" s="25" t="s">
        <v>26</v>
      </c>
      <c r="D69" s="191">
        <v>530.0</v>
      </c>
      <c r="E69" s="124">
        <v>176.0</v>
      </c>
      <c r="F69" s="1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25" t="s">
        <v>37</v>
      </c>
      <c r="B70" s="212" t="s">
        <v>6141</v>
      </c>
      <c r="C70" s="25" t="s">
        <v>26</v>
      </c>
      <c r="D70" s="191">
        <v>500.0</v>
      </c>
      <c r="E70" s="124">
        <v>176.0</v>
      </c>
      <c r="F70" s="1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25" t="s">
        <v>37</v>
      </c>
      <c r="B71" s="195" t="s">
        <v>6142</v>
      </c>
      <c r="C71" s="25" t="s">
        <v>10</v>
      </c>
      <c r="D71" s="191">
        <v>520.0</v>
      </c>
      <c r="E71" s="124">
        <v>137.0</v>
      </c>
      <c r="F71" s="1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25" t="s">
        <v>37</v>
      </c>
      <c r="B72" s="200" t="s">
        <v>6143</v>
      </c>
      <c r="C72" s="25" t="s">
        <v>26</v>
      </c>
      <c r="D72" s="191">
        <v>520.0</v>
      </c>
      <c r="E72" s="124">
        <v>164.0</v>
      </c>
      <c r="F72" s="1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25" t="s">
        <v>37</v>
      </c>
      <c r="B73" s="200" t="s">
        <v>6144</v>
      </c>
      <c r="C73" s="25" t="s">
        <v>26</v>
      </c>
      <c r="D73" s="191">
        <v>530.0</v>
      </c>
      <c r="E73" s="124">
        <v>168.0</v>
      </c>
      <c r="F73" s="1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25" t="s">
        <v>37</v>
      </c>
      <c r="B74" s="213" t="s">
        <v>6135</v>
      </c>
      <c r="C74" s="25" t="s">
        <v>6</v>
      </c>
      <c r="D74" s="191">
        <v>540.0</v>
      </c>
      <c r="E74" s="124">
        <v>140.0</v>
      </c>
      <c r="F74" s="1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25" t="s">
        <v>37</v>
      </c>
      <c r="B75" s="214" t="s">
        <v>6145</v>
      </c>
      <c r="C75" s="25" t="s">
        <v>26</v>
      </c>
      <c r="D75" s="191">
        <v>540.0</v>
      </c>
      <c r="E75" s="124">
        <v>166.0</v>
      </c>
      <c r="F75" s="215"/>
      <c r="G75" s="146"/>
      <c r="H75" s="146"/>
      <c r="I75" s="14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25" t="s">
        <v>37</v>
      </c>
      <c r="B76" s="210" t="s">
        <v>6146</v>
      </c>
      <c r="C76" s="25" t="s">
        <v>6</v>
      </c>
      <c r="D76" s="191">
        <v>540.0</v>
      </c>
      <c r="E76" s="124">
        <v>138.0</v>
      </c>
      <c r="F76" s="1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25" t="s">
        <v>37</v>
      </c>
      <c r="B77" s="216" t="s">
        <v>6147</v>
      </c>
      <c r="C77" s="25" t="s">
        <v>26</v>
      </c>
      <c r="D77" s="191">
        <v>520.0</v>
      </c>
      <c r="E77" s="124">
        <v>153.0</v>
      </c>
      <c r="F77" s="1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25" t="s">
        <v>37</v>
      </c>
      <c r="B78" s="210" t="s">
        <v>6148</v>
      </c>
      <c r="C78" s="25" t="s">
        <v>26</v>
      </c>
      <c r="D78" s="191">
        <v>540.0</v>
      </c>
      <c r="E78" s="124">
        <v>170.0</v>
      </c>
      <c r="F78" s="1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25" t="s">
        <v>37</v>
      </c>
      <c r="B79" s="210" t="s">
        <v>6077</v>
      </c>
      <c r="C79" s="25" t="s">
        <v>26</v>
      </c>
      <c r="D79" s="191">
        <v>540.0</v>
      </c>
      <c r="E79" s="124">
        <v>159.0</v>
      </c>
      <c r="F79" s="215"/>
      <c r="G79" s="146"/>
      <c r="H79" s="146"/>
      <c r="I79" s="14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25" t="s">
        <v>37</v>
      </c>
      <c r="B80" s="207" t="s">
        <v>6149</v>
      </c>
      <c r="C80" s="25" t="s">
        <v>6</v>
      </c>
      <c r="D80" s="191">
        <v>540.0</v>
      </c>
      <c r="E80" s="124">
        <v>115.0</v>
      </c>
      <c r="F80" s="215"/>
      <c r="G80" s="146"/>
      <c r="H80" s="146"/>
      <c r="I80" s="14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25" t="s">
        <v>37</v>
      </c>
      <c r="B81" s="207" t="s">
        <v>6150</v>
      </c>
      <c r="C81" s="25" t="s">
        <v>18</v>
      </c>
      <c r="D81" s="191">
        <v>540.0</v>
      </c>
      <c r="E81" s="124">
        <v>152.0</v>
      </c>
      <c r="F81" s="215"/>
      <c r="G81" s="146"/>
      <c r="H81" s="146"/>
      <c r="I81" s="14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25" t="s">
        <v>37</v>
      </c>
      <c r="B82" s="210" t="s">
        <v>6151</v>
      </c>
      <c r="C82" s="25" t="s">
        <v>6</v>
      </c>
      <c r="D82" s="191">
        <v>530.0</v>
      </c>
      <c r="E82" s="124">
        <v>141.0</v>
      </c>
      <c r="F82" s="1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25" t="s">
        <v>37</v>
      </c>
      <c r="B83" s="207" t="s">
        <v>6152</v>
      </c>
      <c r="C83" s="25" t="s">
        <v>26</v>
      </c>
      <c r="D83" s="191">
        <v>520.0</v>
      </c>
      <c r="E83" s="124">
        <v>160.0</v>
      </c>
      <c r="F83" s="215"/>
      <c r="G83" s="146"/>
      <c r="H83" s="146"/>
      <c r="I83" s="14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25" t="s">
        <v>37</v>
      </c>
      <c r="B84" s="207" t="s">
        <v>6067</v>
      </c>
      <c r="C84" s="25" t="s">
        <v>26</v>
      </c>
      <c r="D84" s="191">
        <v>540.0</v>
      </c>
      <c r="E84" s="124">
        <v>160.0</v>
      </c>
      <c r="F84" s="215"/>
      <c r="G84" s="146"/>
      <c r="H84" s="146"/>
      <c r="I84" s="14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25" t="s">
        <v>37</v>
      </c>
      <c r="B85" s="217" t="s">
        <v>6153</v>
      </c>
      <c r="C85" s="25" t="s">
        <v>6</v>
      </c>
      <c r="D85" s="191">
        <v>540.0</v>
      </c>
      <c r="E85" s="124">
        <v>145.0</v>
      </c>
      <c r="F85" s="215"/>
      <c r="G85" s="146"/>
      <c r="H85" s="146"/>
      <c r="I85" s="14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25" t="s">
        <v>37</v>
      </c>
      <c r="B86" s="217" t="s">
        <v>6154</v>
      </c>
      <c r="C86" s="25" t="s">
        <v>26</v>
      </c>
      <c r="D86" s="191">
        <v>540.0</v>
      </c>
      <c r="E86" s="124">
        <v>156.0</v>
      </c>
      <c r="F86" s="215"/>
      <c r="G86" s="146"/>
      <c r="H86" s="146"/>
      <c r="I86" s="14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25" t="s">
        <v>37</v>
      </c>
      <c r="B87" s="218" t="s">
        <v>6155</v>
      </c>
      <c r="C87" s="25" t="s">
        <v>6</v>
      </c>
      <c r="D87" s="191">
        <v>540.0</v>
      </c>
      <c r="E87" s="124">
        <v>144.0</v>
      </c>
      <c r="F87" s="215"/>
      <c r="G87" s="146"/>
      <c r="H87" s="146"/>
      <c r="I87" s="14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25" t="s">
        <v>37</v>
      </c>
      <c r="B88" s="217" t="s">
        <v>6156</v>
      </c>
      <c r="C88" s="25" t="s">
        <v>6</v>
      </c>
      <c r="D88" s="191">
        <v>540.0</v>
      </c>
      <c r="E88" s="124">
        <v>147.0</v>
      </c>
      <c r="F88" s="215"/>
      <c r="G88" s="146"/>
      <c r="H88" s="146"/>
      <c r="I88" s="14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25" t="s">
        <v>37</v>
      </c>
      <c r="B89" s="219" t="s">
        <v>6157</v>
      </c>
      <c r="C89" s="25" t="s">
        <v>34</v>
      </c>
      <c r="D89" s="191">
        <v>540.0</v>
      </c>
      <c r="E89" s="124">
        <v>228.0</v>
      </c>
      <c r="F89" s="215"/>
      <c r="G89" s="146"/>
      <c r="H89" s="146"/>
      <c r="I89" s="14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25" t="s">
        <v>37</v>
      </c>
      <c r="B90" s="219" t="s">
        <v>6158</v>
      </c>
      <c r="C90" s="25" t="s">
        <v>26</v>
      </c>
      <c r="D90" s="191">
        <v>540.0</v>
      </c>
      <c r="E90" s="124">
        <v>165.0</v>
      </c>
      <c r="F90" s="215"/>
      <c r="G90" s="146"/>
      <c r="H90" s="146"/>
      <c r="I90" s="14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25" t="s">
        <v>37</v>
      </c>
      <c r="B91" s="220" t="s">
        <v>6159</v>
      </c>
      <c r="C91" s="25" t="s">
        <v>6</v>
      </c>
      <c r="D91" s="191">
        <v>580.0</v>
      </c>
      <c r="E91" s="124">
        <v>138.0</v>
      </c>
      <c r="F91" s="215"/>
      <c r="G91" s="146"/>
      <c r="H91" s="146"/>
      <c r="I91" s="14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25" t="s">
        <v>37</v>
      </c>
      <c r="B92" s="219" t="s">
        <v>6160</v>
      </c>
      <c r="C92" s="25" t="s">
        <v>6</v>
      </c>
      <c r="D92" s="191">
        <v>540.0</v>
      </c>
      <c r="E92" s="124">
        <v>143.0</v>
      </c>
      <c r="F92" s="215"/>
      <c r="G92" s="146"/>
      <c r="H92" s="146"/>
      <c r="I92" s="14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25"/>
      <c r="B93" s="195"/>
      <c r="C93" s="25"/>
      <c r="D93" s="191"/>
      <c r="E93" s="124"/>
      <c r="F93" s="215"/>
      <c r="G93" s="146"/>
      <c r="H93" s="146"/>
      <c r="I93" s="14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25"/>
      <c r="B94" s="195"/>
      <c r="C94" s="25"/>
      <c r="D94" s="191"/>
      <c r="E94" s="124"/>
      <c r="F94" s="215"/>
      <c r="G94" s="146"/>
      <c r="H94" s="146"/>
      <c r="I94" s="14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25"/>
      <c r="B95" s="195"/>
      <c r="C95" s="25"/>
      <c r="D95" s="191"/>
      <c r="E95" s="124"/>
      <c r="F95" s="215"/>
      <c r="G95" s="146"/>
      <c r="H95" s="146"/>
      <c r="I95" s="14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25"/>
      <c r="B96" s="195"/>
      <c r="C96" s="25"/>
      <c r="D96" s="191"/>
      <c r="E96" s="124"/>
      <c r="F96" s="215"/>
      <c r="G96" s="146"/>
      <c r="H96" s="146"/>
      <c r="I96" s="14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25"/>
      <c r="B97" s="195"/>
      <c r="C97" s="25"/>
      <c r="D97" s="191"/>
      <c r="E97" s="124"/>
      <c r="F97" s="215"/>
      <c r="G97" s="146"/>
      <c r="H97" s="146"/>
      <c r="I97" s="14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25"/>
      <c r="B98" s="195"/>
      <c r="C98" s="25"/>
      <c r="D98" s="191"/>
      <c r="E98" s="124"/>
      <c r="F98" s="215"/>
      <c r="G98" s="146"/>
      <c r="H98" s="146"/>
      <c r="I98" s="14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5"/>
      <c r="B99" s="195"/>
      <c r="C99" s="25"/>
      <c r="D99" s="191"/>
      <c r="E99" s="124"/>
      <c r="F99" s="215"/>
      <c r="G99" s="146"/>
      <c r="H99" s="146"/>
      <c r="I99" s="14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5"/>
      <c r="B100" s="195"/>
      <c r="C100" s="25"/>
      <c r="D100" s="191"/>
      <c r="E100" s="124"/>
      <c r="F100" s="215"/>
      <c r="G100" s="146"/>
      <c r="H100" s="146"/>
      <c r="I100" s="14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25"/>
      <c r="B101" s="195"/>
      <c r="C101" s="25"/>
      <c r="D101" s="191"/>
      <c r="E101" s="124"/>
      <c r="F101" s="215"/>
      <c r="G101" s="146"/>
      <c r="H101" s="146"/>
      <c r="I101" s="14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4">
    <mergeCell ref="A16:W16"/>
    <mergeCell ref="A35:W35"/>
    <mergeCell ref="A47:W47"/>
    <mergeCell ref="A57:W57"/>
  </mergeCells>
  <conditionalFormatting sqref="E1 E17 E36 E48 E58">
    <cfRule type="cellIs" dxfId="0" priority="1" operator="between">
      <formula>6</formula>
      <formula>9</formula>
    </cfRule>
  </conditionalFormatting>
  <conditionalFormatting sqref="E1 E17 E36 E48 E58">
    <cfRule type="cellIs" dxfId="1" priority="2" operator="lessThanOrEqual">
      <formula>5</formula>
    </cfRule>
  </conditionalFormatting>
  <conditionalFormatting sqref="E1 E17 E36 E48 E58">
    <cfRule type="cellIs" dxfId="2" priority="3" operator="greaterThanOrEqual">
      <formula>10</formula>
    </cfRule>
  </conditionalFormatting>
  <dataValidations>
    <dataValidation type="list" allowBlank="1" showErrorMessage="1" sqref="A7:A15 A23:A33 A42:A46 A54:A56 A64:A101">
      <formula1>BASE!$C$2:$C$16</formula1>
    </dataValidation>
    <dataValidation type="list" allowBlank="1" showErrorMessage="1" sqref="C7:C15 C23:C34 C42:C46 C54:C56 C64:C101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5.29"/>
    <col customWidth="1" min="2" max="2" width="29.29"/>
    <col customWidth="1" min="3" max="3" width="32.57"/>
    <col customWidth="1" min="4" max="4" width="23.14"/>
    <col customWidth="1" min="5" max="5" width="19.86"/>
    <col customWidth="1" min="6" max="6" width="42.43"/>
    <col customWidth="1" min="7" max="24" width="8.71"/>
  </cols>
  <sheetData>
    <row r="1" ht="14.25" customHeight="1">
      <c r="A1" s="7" t="s">
        <v>5621</v>
      </c>
      <c r="B1" s="8" t="str">
        <f>'LIBERAÇÕES'!E20</f>
        <v>SORRISO-MT</v>
      </c>
      <c r="C1" s="7" t="s">
        <v>5622</v>
      </c>
      <c r="D1" s="12" t="str">
        <f>'LIBERAÇÕES'!F20</f>
        <v>ALG COTTON ESPERANÇA</v>
      </c>
      <c r="E1" s="10">
        <f>'LIBERAÇÕES'!L20</f>
        <v>-69</v>
      </c>
      <c r="F1" s="11" t="s">
        <v>5623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25" customHeight="1">
      <c r="A2" s="7" t="s">
        <v>5624</v>
      </c>
      <c r="B2" s="8" t="str">
        <f>'LIBERAÇÕES'!G20</f>
        <v>NATAL-RN</v>
      </c>
      <c r="C2" s="7" t="s">
        <v>5625</v>
      </c>
      <c r="D2" s="12" t="str">
        <f>'LIBERAÇÕES'!M20</f>
        <v>VICUNHA</v>
      </c>
      <c r="E2" s="13" t="s">
        <v>5626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4.25" customHeight="1">
      <c r="A3" s="15" t="s">
        <v>5627</v>
      </c>
      <c r="B3" s="12" t="str">
        <f>'LIBERAÇÕES'!C20</f>
        <v>NUTRADE </v>
      </c>
      <c r="C3" s="15" t="s">
        <v>5628</v>
      </c>
      <c r="D3" s="16">
        <f>'LIBERAÇÕES'!I20</f>
        <v>686</v>
      </c>
      <c r="E3" s="17" t="str">
        <f>'LIBERAÇÕES'!N20</f>
        <v>FARDINHO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4.25" customHeight="1">
      <c r="A4" s="15" t="s">
        <v>5629</v>
      </c>
      <c r="B4" s="18" t="str">
        <f>'LIBERAÇÕES'!J20</f>
        <v>250071-04</v>
      </c>
      <c r="C4" s="19" t="s">
        <v>5630</v>
      </c>
      <c r="D4" s="16">
        <f>SUM(E7:E11)</f>
        <v>686</v>
      </c>
      <c r="E4" s="13" t="s">
        <v>5631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4.25" customHeight="1">
      <c r="A5" s="15" t="s">
        <v>5632</v>
      </c>
      <c r="B5" s="20">
        <f>'LIBERAÇÕES'!K20</f>
        <v>46073</v>
      </c>
      <c r="C5" s="21" t="s">
        <v>5633</v>
      </c>
      <c r="D5" s="22">
        <f>D3-D4</f>
        <v>0</v>
      </c>
      <c r="E5" s="17">
        <f>'LIBERAÇÕES'!H20</f>
        <v>862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4.25" customHeight="1">
      <c r="A6" s="23" t="s">
        <v>1</v>
      </c>
      <c r="B6" s="23" t="s">
        <v>5634</v>
      </c>
      <c r="C6" s="23" t="s">
        <v>5635</v>
      </c>
      <c r="D6" s="23" t="s">
        <v>5636</v>
      </c>
      <c r="E6" s="24" t="s">
        <v>5637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4.25" customHeight="1">
      <c r="A7" s="25" t="s">
        <v>37</v>
      </c>
      <c r="B7" s="124" t="s">
        <v>6161</v>
      </c>
      <c r="C7" s="25" t="s">
        <v>34</v>
      </c>
      <c r="D7" s="125">
        <v>785.0</v>
      </c>
      <c r="E7" s="124">
        <v>230.0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4.25" customHeight="1">
      <c r="A8" s="25" t="s">
        <v>37</v>
      </c>
      <c r="B8" s="124" t="s">
        <v>6162</v>
      </c>
      <c r="C8" s="25" t="s">
        <v>34</v>
      </c>
      <c r="D8" s="125">
        <v>760.0</v>
      </c>
      <c r="E8" s="124">
        <v>228.0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4.25" customHeight="1">
      <c r="A9" s="25" t="s">
        <v>37</v>
      </c>
      <c r="B9" s="124" t="s">
        <v>6163</v>
      </c>
      <c r="C9" s="25" t="s">
        <v>34</v>
      </c>
      <c r="D9" s="125">
        <v>760.0</v>
      </c>
      <c r="E9" s="124">
        <v>228.0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4.25" customHeight="1">
      <c r="A10" s="25"/>
      <c r="B10" s="36"/>
      <c r="C10" s="34"/>
      <c r="D10" s="35"/>
      <c r="E10" s="12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4.25" customHeight="1">
      <c r="A11" s="25"/>
      <c r="B11" s="36"/>
      <c r="C11" s="34"/>
      <c r="D11" s="35"/>
      <c r="E11" s="3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4.25" customHeight="1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8"/>
      <c r="V12" s="5"/>
      <c r="W12" s="5"/>
      <c r="X12" s="5"/>
    </row>
    <row r="13" ht="14.25" customHeight="1">
      <c r="A13" s="7" t="s">
        <v>5621</v>
      </c>
      <c r="B13" s="8" t="str">
        <f>'LIBERAÇÕES'!D61</f>
        <v>SORRISO-MT</v>
      </c>
      <c r="C13" s="7" t="s">
        <v>5622</v>
      </c>
      <c r="D13" s="12" t="str">
        <f>'LIBERAÇÕES'!F61</f>
        <v>ALG CELESTE</v>
      </c>
      <c r="E13" s="10">
        <f>'LIBERAÇÕES'!L32</f>
        <v>-58</v>
      </c>
      <c r="F13" s="11" t="s">
        <v>5623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4.25" customHeight="1">
      <c r="A14" s="7" t="s">
        <v>5624</v>
      </c>
      <c r="B14" s="8" t="str">
        <f>'LIBERAÇÕES'!G61</f>
        <v>RONDONOPOLIS-MT</v>
      </c>
      <c r="C14" s="7" t="s">
        <v>5625</v>
      </c>
      <c r="D14" s="12" t="str">
        <f>'LIBERAÇÕES'!M61</f>
        <v>EISA</v>
      </c>
      <c r="E14" s="13" t="s">
        <v>5626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4.25" customHeight="1">
      <c r="A15" s="15" t="s">
        <v>5627</v>
      </c>
      <c r="B15" s="12" t="str">
        <f>'LIBERAÇÕES'!C61</f>
        <v>NUTRADE </v>
      </c>
      <c r="C15" s="15" t="s">
        <v>5628</v>
      </c>
      <c r="D15" s="16">
        <f>'LIBERAÇÕES'!I61</f>
        <v>298</v>
      </c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4.25" customHeight="1">
      <c r="A16" s="15" t="s">
        <v>5629</v>
      </c>
      <c r="B16" s="18" t="str">
        <f>'LIBERAÇÕES'!J61</f>
        <v>SIRON-EXP-3155257015-055-01A</v>
      </c>
      <c r="C16" s="19" t="s">
        <v>5630</v>
      </c>
      <c r="D16" s="16">
        <f>E19+E20+E21+E22</f>
        <v>298</v>
      </c>
      <c r="E16" s="13" t="s">
        <v>5631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4.25" customHeight="1">
      <c r="A17" s="15" t="s">
        <v>5632</v>
      </c>
      <c r="B17" s="20">
        <f>'LIBERAÇÕES'!K61</f>
        <v>46112</v>
      </c>
      <c r="C17" s="21" t="s">
        <v>5633</v>
      </c>
      <c r="D17" s="22">
        <f>D15-D16</f>
        <v>0</v>
      </c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4.25" customHeight="1">
      <c r="A18" s="23" t="s">
        <v>1</v>
      </c>
      <c r="B18" s="23" t="s">
        <v>5634</v>
      </c>
      <c r="C18" s="23" t="s">
        <v>5635</v>
      </c>
      <c r="D18" s="23" t="s">
        <v>5636</v>
      </c>
      <c r="E18" s="24" t="s">
        <v>5637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4.25" customHeight="1">
      <c r="A19" s="25" t="s">
        <v>58</v>
      </c>
      <c r="B19" s="124" t="s">
        <v>6164</v>
      </c>
      <c r="C19" s="25" t="s">
        <v>6</v>
      </c>
      <c r="D19" s="125">
        <v>210.0</v>
      </c>
      <c r="E19" s="124">
        <v>135.0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4.25" customHeight="1">
      <c r="A20" s="25" t="s">
        <v>5</v>
      </c>
      <c r="B20" s="124" t="s">
        <v>6165</v>
      </c>
      <c r="C20" s="25" t="s">
        <v>30</v>
      </c>
      <c r="D20" s="125">
        <v>215.0</v>
      </c>
      <c r="E20" s="124">
        <v>163.0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4.25" customHeight="1">
      <c r="A21" s="25"/>
      <c r="B21" s="124"/>
      <c r="C21" s="25"/>
      <c r="D21" s="125"/>
      <c r="E21" s="12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4.25" customHeight="1">
      <c r="A22" s="25"/>
      <c r="B22" s="36"/>
      <c r="C22" s="34"/>
      <c r="D22" s="35"/>
      <c r="E22" s="12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4.25" customHeight="1">
      <c r="A23" s="25"/>
      <c r="B23" s="36"/>
      <c r="C23" s="34"/>
      <c r="D23" s="35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4.25" customHeight="1">
      <c r="A24" s="126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8"/>
      <c r="V24" s="5"/>
      <c r="W24" s="5"/>
      <c r="X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</sheetData>
  <mergeCells count="2">
    <mergeCell ref="A12:U12"/>
    <mergeCell ref="A24:U24"/>
  </mergeCells>
  <conditionalFormatting sqref="E1 E13">
    <cfRule type="cellIs" dxfId="0" priority="1" operator="between">
      <formula>6</formula>
      <formula>9</formula>
    </cfRule>
  </conditionalFormatting>
  <conditionalFormatting sqref="E1 E13">
    <cfRule type="cellIs" dxfId="1" priority="2" operator="lessThanOrEqual">
      <formula>5</formula>
    </cfRule>
  </conditionalFormatting>
  <conditionalFormatting sqref="E1 E13">
    <cfRule type="cellIs" dxfId="2" priority="3" operator="greaterThanOrEqual">
      <formula>10</formula>
    </cfRule>
  </conditionalFormatting>
  <dataValidations>
    <dataValidation type="list" allowBlank="1" showErrorMessage="1" sqref="A7:A11 A19:A23">
      <formula1>BASE!$C$2:$C$16</formula1>
    </dataValidation>
    <dataValidation type="list" allowBlank="1" showErrorMessage="1" sqref="C7:C11 C19:C23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5.29"/>
    <col customWidth="1" min="2" max="2" width="32.14"/>
    <col customWidth="1" min="3" max="3" width="32.57"/>
    <col customWidth="1" min="4" max="4" width="24.0"/>
    <col customWidth="1" min="5" max="5" width="19.86"/>
    <col customWidth="1" min="6" max="6" width="42.43"/>
    <col customWidth="1" min="7" max="26" width="8.71"/>
  </cols>
  <sheetData>
    <row r="1" ht="14.25" customHeight="1">
      <c r="A1" s="7" t="s">
        <v>6166</v>
      </c>
      <c r="B1" s="8" t="str">
        <f>'LIBERAÇÕES'!E60</f>
        <v>CAMPO NOVO DO PARECIS-MT</v>
      </c>
      <c r="C1" s="7" t="s">
        <v>5622</v>
      </c>
      <c r="D1" s="12" t="str">
        <f>'LIBERAÇÕES'!F60</f>
        <v>ALG COTTON CAMPO</v>
      </c>
      <c r="E1" s="221"/>
      <c r="F1" s="11" t="s">
        <v>5623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 t="s">
        <v>5624</v>
      </c>
      <c r="B2" s="8" t="str">
        <f>'LIBERAÇÕES'!G60</f>
        <v>CUBATAO-SP</v>
      </c>
      <c r="C2" s="7" t="s">
        <v>5625</v>
      </c>
      <c r="D2" s="12" t="str">
        <f>'LIBERAÇÕES'!M60</f>
        <v>LDC</v>
      </c>
      <c r="E2" s="13" t="s">
        <v>5626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5" t="s">
        <v>5627</v>
      </c>
      <c r="B3" s="12" t="str">
        <f>'LIBERAÇÕES'!C60</f>
        <v>NUTRADE </v>
      </c>
      <c r="C3" s="15" t="s">
        <v>5628</v>
      </c>
      <c r="D3" s="16">
        <f>'LIBERAÇÕES'!I60</f>
        <v>520</v>
      </c>
      <c r="E3" s="17" t="str">
        <f>'LIBERAÇÕES'!N25</f>
        <v>FARDÃO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5" t="s">
        <v>5629</v>
      </c>
      <c r="B4" s="18" t="str">
        <f>'LIBERAÇÕES'!J60</f>
        <v>SI RDN-EXP-CBT-25-AL158</v>
      </c>
      <c r="C4" s="19" t="s">
        <v>5630</v>
      </c>
      <c r="D4" s="16">
        <f>E7+E8+E9+E10+E11</f>
        <v>520</v>
      </c>
      <c r="E4" s="13" t="s">
        <v>5631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5" t="s">
        <v>5632</v>
      </c>
      <c r="B5" s="20">
        <f>'LIBERAÇÕES'!K60</f>
        <v>46112</v>
      </c>
      <c r="C5" s="21" t="s">
        <v>5633</v>
      </c>
      <c r="D5" s="182">
        <f>D3-D4</f>
        <v>0</v>
      </c>
      <c r="E5" s="134">
        <v>640.0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3" t="s">
        <v>1</v>
      </c>
      <c r="B6" s="23" t="s">
        <v>5634</v>
      </c>
      <c r="C6" s="23" t="s">
        <v>5635</v>
      </c>
      <c r="D6" s="23" t="s">
        <v>5636</v>
      </c>
      <c r="E6" s="24" t="s">
        <v>5637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5" t="s">
        <v>56</v>
      </c>
      <c r="B7" s="124" t="s">
        <v>6167</v>
      </c>
      <c r="C7" s="25" t="s">
        <v>34</v>
      </c>
      <c r="D7" s="125">
        <v>600.0</v>
      </c>
      <c r="E7" s="124">
        <v>206.0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5" t="s">
        <v>56</v>
      </c>
      <c r="B8" s="124" t="s">
        <v>6168</v>
      </c>
      <c r="C8" s="25" t="s">
        <v>34</v>
      </c>
      <c r="D8" s="125">
        <v>600.0</v>
      </c>
      <c r="E8" s="124">
        <v>206.0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5" t="s">
        <v>56</v>
      </c>
      <c r="B9" s="124" t="s">
        <v>6169</v>
      </c>
      <c r="C9" s="25" t="s">
        <v>6</v>
      </c>
      <c r="D9" s="125">
        <v>600.0</v>
      </c>
      <c r="E9" s="124">
        <v>108.0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25"/>
      <c r="B10" s="36"/>
      <c r="C10" s="34"/>
      <c r="D10" s="35"/>
      <c r="E10" s="3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5"/>
      <c r="B11" s="36"/>
      <c r="C11" s="34"/>
      <c r="D11" s="35"/>
      <c r="E11" s="3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22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</row>
    <row r="13" ht="14.25" customHeight="1">
      <c r="A13" s="7" t="s">
        <v>5621</v>
      </c>
      <c r="B13" s="8" t="str">
        <f>'LIBERAÇÕES'!E65</f>
        <v>DIAMANTINO-MT</v>
      </c>
      <c r="C13" s="7" t="s">
        <v>5622</v>
      </c>
      <c r="D13" s="12" t="str">
        <f>'LIBERAÇÕES'!F65</f>
        <v>ALG FALAVINHA</v>
      </c>
      <c r="E13" s="221"/>
      <c r="F13" s="11" t="s">
        <v>5623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" t="s">
        <v>5624</v>
      </c>
      <c r="B14" s="8" t="str">
        <f>'LIBERAÇÕES'!G65</f>
        <v>RONDONOPOLIS-MT</v>
      </c>
      <c r="C14" s="7" t="s">
        <v>5625</v>
      </c>
      <c r="D14" s="12" t="str">
        <f>'LIBERAÇÕES'!M64</f>
        <v>EISA</v>
      </c>
      <c r="E14" s="13" t="s">
        <v>5626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5" t="s">
        <v>5627</v>
      </c>
      <c r="B15" s="12" t="str">
        <f>'LIBERAÇÕES'!C65</f>
        <v>NUTRADE </v>
      </c>
      <c r="C15" s="15" t="s">
        <v>5628</v>
      </c>
      <c r="D15" s="16">
        <f>'LIBERAÇÕES'!I65</f>
        <v>130</v>
      </c>
      <c r="E15" s="17" t="str">
        <f>'LIBERAÇÕES'!N37</f>
        <v>FARDÃO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5" t="s">
        <v>5629</v>
      </c>
      <c r="B16" s="18" t="str">
        <f>'LIBERAÇÕES'!J65</f>
        <v>SIRON-EXP-3155257015-055-02A</v>
      </c>
      <c r="C16" s="19" t="s">
        <v>5630</v>
      </c>
      <c r="D16" s="16">
        <f>E19</f>
        <v>130</v>
      </c>
      <c r="E16" s="13" t="s">
        <v>5631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5" t="s">
        <v>5632</v>
      </c>
      <c r="B17" s="20">
        <f>'LIBERAÇÕES'!K65</f>
        <v>46112</v>
      </c>
      <c r="C17" s="21" t="s">
        <v>5633</v>
      </c>
      <c r="D17" s="182">
        <f>D15-D16</f>
        <v>0</v>
      </c>
      <c r="E17" s="134">
        <f>'LIBERAÇÕES'!H65</f>
        <v>255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3" t="s">
        <v>1</v>
      </c>
      <c r="B18" s="23" t="s">
        <v>5634</v>
      </c>
      <c r="C18" s="23" t="s">
        <v>5635</v>
      </c>
      <c r="D18" s="23" t="s">
        <v>5636</v>
      </c>
      <c r="E18" s="24" t="s">
        <v>5637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5" t="s">
        <v>56</v>
      </c>
      <c r="B19" s="223" t="s">
        <v>6170</v>
      </c>
      <c r="C19" s="25" t="s">
        <v>26</v>
      </c>
      <c r="D19" s="125">
        <v>210.0</v>
      </c>
      <c r="E19" s="124">
        <v>130.0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22"/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</row>
    <row r="21" ht="14.25" customHeight="1">
      <c r="A21" s="7" t="s">
        <v>5621</v>
      </c>
      <c r="B21" s="8" t="str">
        <f>'LIBERAÇÕES'!E69</f>
        <v>NOVA MARINGA-MT</v>
      </c>
      <c r="C21" s="7" t="s">
        <v>5622</v>
      </c>
      <c r="D21" s="12" t="str">
        <f>'LIBERAÇÕES'!F69</f>
        <v>ALG GFO COTTON</v>
      </c>
      <c r="E21" s="221"/>
      <c r="F21" s="11" t="s">
        <v>5623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7" t="s">
        <v>5624</v>
      </c>
      <c r="B22" s="8" t="str">
        <f>'LIBERAÇÕES'!G69</f>
        <v>RONDONOPOLIS-MT</v>
      </c>
      <c r="C22" s="7" t="s">
        <v>5625</v>
      </c>
      <c r="D22" s="12" t="str">
        <f>'LIBERAÇÕES'!M69</f>
        <v>TBM LOG</v>
      </c>
      <c r="E22" s="13" t="s">
        <v>5626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15" t="s">
        <v>5627</v>
      </c>
      <c r="B23" s="12" t="str">
        <f>'LIBERAÇÕES'!C69</f>
        <v>COFCO</v>
      </c>
      <c r="C23" s="15" t="s">
        <v>5628</v>
      </c>
      <c r="D23" s="16">
        <f>'LIBERAÇÕES'!I69</f>
        <v>1272</v>
      </c>
      <c r="E23" s="17" t="str">
        <f>'LIBERAÇÕES'!N45</f>
        <v>FARDINHO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5" t="s">
        <v>5629</v>
      </c>
      <c r="B24" s="18" t="str">
        <f>'LIBERAÇÕES'!J69</f>
        <v>WH-TBM-MAR26-03 </v>
      </c>
      <c r="C24" s="19" t="s">
        <v>5630</v>
      </c>
      <c r="D24" s="16">
        <f>E27+E28+E29+E30+E31+E32+E33+E34+E35</f>
        <v>1272</v>
      </c>
      <c r="E24" s="13" t="s">
        <v>5631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5" t="s">
        <v>5632</v>
      </c>
      <c r="B25" s="20">
        <f>'LIBERAÇÕES'!K85</f>
        <v>46130</v>
      </c>
      <c r="C25" s="21" t="s">
        <v>5633</v>
      </c>
      <c r="D25" s="182">
        <v>0.0</v>
      </c>
      <c r="E25" s="134">
        <f>'LIBERAÇÕES'!H69</f>
        <v>350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3" t="s">
        <v>1</v>
      </c>
      <c r="B26" s="23" t="s">
        <v>5634</v>
      </c>
      <c r="C26" s="23" t="s">
        <v>5635</v>
      </c>
      <c r="D26" s="23" t="s">
        <v>5636</v>
      </c>
      <c r="E26" s="24" t="s">
        <v>5637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25" t="s">
        <v>56</v>
      </c>
      <c r="B27" s="223" t="s">
        <v>6171</v>
      </c>
      <c r="C27" s="25" t="s">
        <v>26</v>
      </c>
      <c r="D27" s="125">
        <v>280.0</v>
      </c>
      <c r="E27" s="124">
        <v>148.0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5" t="s">
        <v>56</v>
      </c>
      <c r="B28" s="124" t="s">
        <v>6172</v>
      </c>
      <c r="C28" s="25" t="s">
        <v>26</v>
      </c>
      <c r="D28" s="125">
        <v>280.0</v>
      </c>
      <c r="E28" s="124">
        <v>148.0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25" t="s">
        <v>56</v>
      </c>
      <c r="B29" s="124" t="s">
        <v>6173</v>
      </c>
      <c r="C29" s="25" t="s">
        <v>26</v>
      </c>
      <c r="D29" s="125">
        <v>280.0</v>
      </c>
      <c r="E29" s="124">
        <v>148.0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5" t="s">
        <v>56</v>
      </c>
      <c r="B30" s="124" t="s">
        <v>6174</v>
      </c>
      <c r="C30" s="25" t="s">
        <v>10</v>
      </c>
      <c r="D30" s="125">
        <v>280.0</v>
      </c>
      <c r="E30" s="124">
        <v>130.0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25" t="s">
        <v>56</v>
      </c>
      <c r="B31" s="124" t="s">
        <v>6175</v>
      </c>
      <c r="C31" s="25" t="s">
        <v>10</v>
      </c>
      <c r="D31" s="125">
        <v>280.0</v>
      </c>
      <c r="E31" s="124">
        <v>128.0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5" t="s">
        <v>56</v>
      </c>
      <c r="B32" s="124" t="s">
        <v>6176</v>
      </c>
      <c r="C32" s="25" t="s">
        <v>34</v>
      </c>
      <c r="D32" s="125">
        <v>280.0</v>
      </c>
      <c r="E32" s="124">
        <v>204.0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25" t="s">
        <v>56</v>
      </c>
      <c r="B33" s="124" t="s">
        <v>6177</v>
      </c>
      <c r="C33" s="25" t="s">
        <v>14</v>
      </c>
      <c r="D33" s="125">
        <v>280.0</v>
      </c>
      <c r="E33" s="124">
        <v>160.0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25" t="s">
        <v>21</v>
      </c>
      <c r="B34" s="124" t="s">
        <v>6178</v>
      </c>
      <c r="C34" s="25" t="s">
        <v>34</v>
      </c>
      <c r="D34" s="125">
        <v>280.0</v>
      </c>
      <c r="E34" s="124">
        <v>206.0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25"/>
      <c r="B35" s="124"/>
      <c r="C35" s="25"/>
      <c r="D35" s="125"/>
      <c r="E35" s="12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</sheetData>
  <conditionalFormatting sqref="E1 E13 E21">
    <cfRule type="cellIs" dxfId="0" priority="1" operator="between">
      <formula>6</formula>
      <formula>9</formula>
    </cfRule>
  </conditionalFormatting>
  <conditionalFormatting sqref="E1 E13 E21">
    <cfRule type="cellIs" dxfId="1" priority="2" operator="lessThanOrEqual">
      <formula>5</formula>
    </cfRule>
  </conditionalFormatting>
  <conditionalFormatting sqref="E1 E13 E21">
    <cfRule type="cellIs" dxfId="2" priority="3" operator="greaterThanOrEqual">
      <formula>10</formula>
    </cfRule>
  </conditionalFormatting>
  <dataValidations>
    <dataValidation type="list" allowBlank="1" showErrorMessage="1" sqref="A7:A11 A19 A27:A35">
      <formula1>BASE!$C$2:$C$16</formula1>
    </dataValidation>
    <dataValidation type="list" allowBlank="1" showErrorMessage="1" sqref="C7:C11 C19 C27:C35">
      <formula1>BASE!$E$2:$E$14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